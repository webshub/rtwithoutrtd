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A13" i="1" l="1"/>
  <c r="B13" i="1"/>
  <c r="C13" i="1"/>
  <c r="D13" i="1"/>
  <c r="E13" i="1"/>
  <c r="A14" i="1"/>
  <c r="B14" i="1"/>
  <c r="C14" i="1"/>
  <c r="D14" i="1"/>
  <c r="E14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2" i="1"/>
  <c r="E11" i="1"/>
  <c r="E10" i="1"/>
  <c r="E9" i="1"/>
  <c r="D15" i="1" l="1"/>
  <c r="C15" i="1"/>
  <c r="A15" i="1"/>
  <c r="B15" i="1"/>
  <c r="D12" i="1"/>
  <c r="C12" i="1"/>
  <c r="A16" i="1"/>
  <c r="A12" i="1"/>
  <c r="B12" i="1"/>
  <c r="B16" i="1"/>
  <c r="C16" i="1"/>
  <c r="D16" i="1"/>
  <c r="D19" i="1" l="1"/>
  <c r="D17" i="1" l="1"/>
  <c r="C17" i="1"/>
  <c r="A17" i="1"/>
  <c r="B17" i="1"/>
  <c r="D18" i="1"/>
  <c r="C18" i="1"/>
  <c r="B18" i="1"/>
  <c r="A18" i="1"/>
  <c r="D9" i="1" l="1"/>
  <c r="D10" i="1"/>
  <c r="D11" i="1"/>
  <c r="C9" i="1"/>
  <c r="C10" i="1"/>
  <c r="C11" i="1"/>
  <c r="A9" i="1"/>
  <c r="A10" i="1"/>
  <c r="A11" i="1"/>
  <c r="B10" i="1" l="1"/>
  <c r="B11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D52" i="1" l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<sst xmlns="http://schemas.openxmlformats.org/spreadsheetml/2006/main" count="156" uniqueCount="61">
  <si>
    <t>AmiBroker Database path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</si>
  <si>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</si>
  <si>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</si>
  <si>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</si>
  <si>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</si>
  <si>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</si>
  <si>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</si>
  <si>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</si>
  <si>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</si>
  <si>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</si>
  <si>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</si>
  <si>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</si>
  <si>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</si>
  <si>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</si>
  <si>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</si>
  <si>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</si>
  <si>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</si>
  <si>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</si>
  <si>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</si>
  <si>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</si>
  <si>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</si>
  <si>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</si>
  <si>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</si>
  <si>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</si>
  <si>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</si>
  <si>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</si>
  <si>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</si>
  <si>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</si>
  <si>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</si>
  <si>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</si>
  <si>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</si>
  <si>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</si>
  <si>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</si>
  <si>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</si>
  <si>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</si>
  <si>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</si>
  <si>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</si>
  <si>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</si>
  <si>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</si>
  <si>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</si>
  <si>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Metastock</t>
  </si>
  <si>
    <t>Fcharts</t>
  </si>
  <si>
    <t>Select Chart</t>
  </si>
  <si>
    <t>Help</t>
  </si>
  <si>
    <t xml:space="preserve">2.Open shubhaodin.xls within arbitage.xls </t>
  </si>
  <si>
    <t xml:space="preserve">3.Select chart option as amibroker ,metastock,fchart </t>
  </si>
  <si>
    <t xml:space="preserve">4.Click on start </t>
  </si>
  <si>
    <t xml:space="preserve">1.Right click on odin then click link to excel it will open arbitrage.xls file </t>
  </si>
  <si>
    <t xml:space="preserve">                                         </t>
  </si>
  <si>
    <t>Contact for support to support@shubhalabha.in</t>
  </si>
  <si>
    <t xml:space="preserve">select time interval </t>
  </si>
  <si>
    <t>Amibroker</t>
  </si>
  <si>
    <t xml:space="preserve">This program comes with ABSOLUTELY NO WARRANTY, for more details please read  licence  . </t>
  </si>
  <si>
    <t>If data is not moving please copy this xls in the drive where odin is install (C drive ,E drive or any other drive  )</t>
  </si>
  <si>
    <t>Start Time</t>
  </si>
  <si>
    <t xml:space="preserve">End Time </t>
  </si>
  <si>
    <t>Mpping symbol</t>
  </si>
  <si>
    <t>TCS-EQ1</t>
  </si>
  <si>
    <t>TCS-EQ2</t>
  </si>
  <si>
    <t>C:\myshubhalabha\amirealtime</t>
  </si>
  <si>
    <t>Please set your date format to dd-mm-yy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</si>
</sst>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3" borderId="0" xfId="0" applyFill="1"/>
    <xf numFmtId="0" fontId="0" fillId="0" borderId="0" xfId="0" applyBorder="1"/>
    <xf numFmtId="0" fontId="0" fillId="4" borderId="0" xfId="0" applyFont="1" applyFill="1"/>
    <xf numFmtId="0" fontId="9" fillId="0" borderId="0" xfId="2" applyFont="1"/>
    <xf numFmtId="0" fontId="10" fillId="0" borderId="0" xfId="0" applyFont="1"/>
    <xf numFmtId="0" fontId="0" fillId="0" borderId="0" xfId="0"/>
    <xf numFmtId="164" fontId="0" fillId="0" borderId="0" xfId="0" applyNumberFormat="1"/>
    <xf numFmtId="0" fontId="0" fillId="3" borderId="0" xfId="0" applyFill="1"/>
    <xf numFmtId="0" fontId="0" fillId="0" borderId="0" xfId="0" applyBorder="1"/>
    <xf numFmtId="0" fontId="4" fillId="3" borderId="0" xfId="0" applyFont="1" applyFill="1"/>
    <xf numFmtId="14" fontId="0" fillId="5" borderId="0" xfId="0" applyNumberFormat="1" applyFill="1" applyBorder="1"/>
    <xf numFmtId="14" fontId="0" fillId="5" borderId="0" xfId="0" applyNumberFormat="1" applyFill="1"/>
    <xf numFmtId="0" fontId="0" fillId="5" borderId="0" xfId="0" applyFill="1"/>
    <xf numFmtId="0" fontId="4" fillId="5" borderId="0" xfId="0" applyFont="1" applyFill="1"/>
    <xf numFmtId="0" fontId="0" fillId="6" borderId="0" xfId="0" applyFill="1"/>
    <xf numFmtId="0" fontId="0" fillId="6" borderId="0" xfId="0" applyFill="1" applyProtection="1">
      <protection locked="0"/>
    </xf>
    <xf numFmtId="14" fontId="4" fillId="6" borderId="0" xfId="0" applyNumberFormat="1" applyFont="1" applyFill="1"/>
    <xf numFmtId="21" fontId="4" fillId="6" borderId="0" xfId="0" applyNumberFormat="1" applyFont="1" applyFill="1"/>
    <xf numFmtId="0" fontId="1" fillId="6" borderId="1" xfId="0" applyFont="1" applyFill="1" applyBorder="1"/>
    <xf numFmtId="0" fontId="1" fillId="6" borderId="2" xfId="0" applyFont="1" applyFill="1" applyBorder="1"/>
    <xf numFmtId="164" fontId="0" fillId="6" borderId="0" xfId="0" applyNumberFormat="1" applyFill="1"/>
    <xf numFmtId="0" fontId="7" fillId="3" borderId="0" xfId="0" applyFont="1" applyFill="1"/>
    <xf numFmtId="0" fontId="0" fillId="0" borderId="3" xfId="0" applyBorder="1"/>
    <xf numFmtId="0" fontId="4" fillId="4" borderId="0" xfId="0" applyFont="1" applyFill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0</xdr:row>
          <xdr:rowOff>19050</xdr:rowOff>
        </xdr:from>
        <xdr:to>
          <xdr:col>5</xdr:col>
          <xdr:colOff>266700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2</xdr:row>
          <xdr:rowOff>57150</xdr:rowOff>
        </xdr:from>
        <xdr:to>
          <xdr:col>5</xdr:col>
          <xdr:colOff>266700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38100</xdr:colOff>
      <xdr:row>7</xdr:row>
      <xdr:rowOff>133350</xdr:rowOff>
    </xdr:from>
    <xdr:to>
      <xdr:col>8</xdr:col>
      <xdr:colOff>6705600</xdr:colOff>
      <xdr:row>15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8</xdr:col>
      <xdr:colOff>771524</xdr:colOff>
      <xdr:row>0</xdr:row>
      <xdr:rowOff>104775</xdr:rowOff>
    </xdr:from>
    <xdr:to>
      <xdr:col>8</xdr:col>
      <xdr:colOff>5702139</xdr:colOff>
      <xdr:row>6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99" y="104775"/>
          <a:ext cx="4930615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">
          <cell r="B6" t="str">
            <v>TCS  EQ</v>
          </cell>
          <cell r="L6">
            <v>2083.0500000000002</v>
          </cell>
          <cell r="M6">
            <v>549.06799999999998</v>
          </cell>
          <cell r="V6">
            <v>6012500</v>
          </cell>
        </row>
        <row r="7">
          <cell r="B7" t="str">
            <v>INDAIRYSPE  EQ</v>
          </cell>
          <cell r="L7">
            <v>0</v>
          </cell>
          <cell r="M7">
            <v>0</v>
          </cell>
        </row>
        <row r="8">
          <cell r="B8" t="str">
            <v>INFY  EQ</v>
          </cell>
          <cell r="L8">
            <v>3360</v>
          </cell>
          <cell r="M8">
            <v>508.59100000000001</v>
          </cell>
          <cell r="V8">
            <v>4174625</v>
          </cell>
        </row>
        <row r="9">
          <cell r="B9" t="str">
            <v>TATACHEM  EQ</v>
          </cell>
          <cell r="L9">
            <v>270.5</v>
          </cell>
          <cell r="M9">
            <v>74.534999999999997</v>
          </cell>
          <cell r="V9">
            <v>13967412</v>
          </cell>
        </row>
        <row r="10">
          <cell r="B10" t="str">
            <v>TATACOFFEE  EQ</v>
          </cell>
          <cell r="L10">
            <v>1028.9000000000001</v>
          </cell>
          <cell r="M10">
            <v>108.94</v>
          </cell>
          <cell r="V10">
            <v>13967412</v>
          </cell>
        </row>
        <row r="11">
          <cell r="B11" t="str">
            <v>TATACOMM  EQ</v>
          </cell>
          <cell r="L11">
            <v>261.39999999999998</v>
          </cell>
          <cell r="M11">
            <v>177.43299999999999</v>
          </cell>
          <cell r="V11">
            <v>63353651</v>
          </cell>
        </row>
        <row r="12">
          <cell r="B12" t="str">
            <v>TATADVMATL  EQ</v>
          </cell>
          <cell r="L12">
            <v>0</v>
          </cell>
          <cell r="M12">
            <v>0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2"/>
  <sheetViews>
    <sheetView tabSelected="1" topLeftCell="B11" workbookViewId="0">
      <selection activeCell="I24" sqref="I24"/>
    </sheetView>
  </sheetViews>
  <sheetFormatPr defaultRowHeight="15" x14ac:dyDescent="0.25"/>
  <cols>
    <col min="1" max="1" width="23.85546875" bestFit="1" customWidth="1"/>
    <col min="2" max="2" width="18.85546875" bestFit="1" customWidth="1"/>
    <col min="3" max="3" width="16" bestFit="1" customWidth="1"/>
    <col min="4" max="4" width="13.5703125" bestFit="1" customWidth="1"/>
    <col min="5" max="5" width="13.42578125" style="14" bestFit="1" customWidth="1"/>
    <col min="6" max="6" width="14.85546875" bestFit="1" customWidth="1"/>
    <col min="7" max="7" width="103.5703125" hidden="1" customWidth="1"/>
    <col min="8" max="8" width="3.140625" style="9" hidden="1" customWidth="1"/>
    <col min="9" max="9" width="103.42578125" customWidth="1"/>
    <col min="10" max="10" width="14.85546875" style="4" bestFit="1" customWidth="1"/>
    <col min="11" max="11" width="15.85546875" style="1" customWidth="1"/>
    <col min="13" max="13" width="5.42578125" customWidth="1"/>
    <col min="14" max="14" width="11.42578125" customWidth="1"/>
  </cols>
  <sheetData>
    <row r="1" spans="1:17" s="1" customFormat="1" x14ac:dyDescent="0.25">
      <c r="A1" s="19" t="s">
        <v>0</v>
      </c>
      <c r="B1" s="23" t="s">
        <v>59</v>
      </c>
      <c r="C1" s="30"/>
      <c r="D1" s="1" t="s">
        <v>51</v>
      </c>
      <c r="E1" s="14"/>
      <c r="J1" s="4"/>
      <c r="L1" s="1">
        <v>1</v>
      </c>
    </row>
    <row r="2" spans="1:17" s="1" customFormat="1" x14ac:dyDescent="0.25">
      <c r="A2" s="20"/>
      <c r="B2" s="24"/>
      <c r="C2" s="16"/>
      <c r="D2" s="1" t="s">
        <v>40</v>
      </c>
      <c r="E2" s="14"/>
      <c r="H2" s="9"/>
      <c r="J2" s="4"/>
      <c r="L2" s="1">
        <v>3</v>
      </c>
    </row>
    <row r="3" spans="1:17" ht="15.75" customHeight="1" x14ac:dyDescent="0.25">
      <c r="A3" s="21" t="s">
        <v>50</v>
      </c>
      <c r="B3" s="24">
        <v>3</v>
      </c>
      <c r="C3" s="16"/>
      <c r="D3" t="s">
        <v>41</v>
      </c>
      <c r="F3" s="1"/>
      <c r="G3" s="1" t="s">
        <v>48</v>
      </c>
      <c r="H3" s="1"/>
      <c r="I3" s="1"/>
      <c r="L3" s="1">
        <v>5</v>
      </c>
      <c r="M3" s="1"/>
      <c r="N3" s="1"/>
      <c r="O3" s="3"/>
    </row>
    <row r="4" spans="1:17" x14ac:dyDescent="0.25">
      <c r="A4" s="21" t="s">
        <v>42</v>
      </c>
      <c r="B4" s="24" t="s">
        <v>51</v>
      </c>
      <c r="C4" s="31"/>
      <c r="D4" s="1"/>
      <c r="F4" s="1"/>
      <c r="G4" s="1"/>
      <c r="I4" s="1"/>
      <c r="L4" s="1">
        <v>10</v>
      </c>
      <c r="M4" s="1"/>
      <c r="N4" s="1"/>
    </row>
    <row r="5" spans="1:17" ht="15.75" customHeight="1" x14ac:dyDescent="0.25">
      <c r="A5" s="22" t="s">
        <v>1</v>
      </c>
      <c r="B5" s="25">
        <f ca="1">TODAY()</f>
        <v>41597</v>
      </c>
      <c r="C5" s="10"/>
      <c r="D5" s="1"/>
      <c r="F5" s="1"/>
      <c r="G5" s="1"/>
      <c r="I5" s="1"/>
      <c r="L5" s="1">
        <v>20</v>
      </c>
      <c r="M5" s="1"/>
      <c r="N5" s="1"/>
    </row>
    <row r="6" spans="1:17" s="1" customFormat="1" ht="15.75" customHeight="1" x14ac:dyDescent="0.25">
      <c r="A6" s="22" t="s">
        <v>54</v>
      </c>
      <c r="B6" s="26">
        <v>0.38541666666666669</v>
      </c>
      <c r="C6" s="17"/>
      <c r="D6" s="14"/>
      <c r="E6" s="14"/>
      <c r="F6" s="14"/>
      <c r="G6" s="14"/>
      <c r="H6" s="16"/>
      <c r="I6" s="18"/>
      <c r="J6" s="14"/>
      <c r="K6" s="15"/>
      <c r="L6" s="14">
        <v>30</v>
      </c>
      <c r="M6" s="14"/>
      <c r="N6" s="14"/>
      <c r="O6" s="14"/>
      <c r="P6" s="14"/>
      <c r="Q6" s="14"/>
    </row>
    <row r="7" spans="1:17" s="1" customFormat="1" ht="15.75" customHeight="1" x14ac:dyDescent="0.25">
      <c r="A7" s="22" t="s">
        <v>55</v>
      </c>
      <c r="B7" s="26">
        <v>0.64583333333333337</v>
      </c>
      <c r="C7" s="17"/>
      <c r="D7" s="14"/>
      <c r="E7" s="14"/>
      <c r="F7" s="14"/>
      <c r="G7" s="14"/>
      <c r="H7" s="16"/>
      <c r="I7" s="18"/>
      <c r="J7" s="14"/>
      <c r="K7" s="15"/>
      <c r="L7" s="14"/>
      <c r="M7" s="14"/>
      <c r="N7" s="14"/>
      <c r="O7" s="14"/>
      <c r="P7" s="14"/>
      <c r="Q7" s="14"/>
    </row>
    <row r="8" spans="1:17" s="23" customFormat="1" x14ac:dyDescent="0.25">
      <c r="A8" s="27" t="s">
        <v>2</v>
      </c>
      <c r="B8" s="27" t="s">
        <v>31</v>
      </c>
      <c r="C8" s="28" t="s">
        <v>3</v>
      </c>
      <c r="D8" s="27" t="s">
        <v>5</v>
      </c>
      <c r="E8" s="27" t="s">
        <v>4</v>
      </c>
      <c r="F8" s="27" t="s">
        <v>56</v>
      </c>
      <c r="G8" s="27"/>
      <c r="J8" s="29"/>
    </row>
    <row r="9" spans="1:17" x14ac:dyDescent="0.25">
      <c r="A9" s="1" t="str">
        <f>[1]Sheet1!$B$6</f>
        <v>TCS  EQ</v>
      </c>
      <c r="B9" s="8">
        <f ca="1">NOW()</f>
        <v>41597.661515740743</v>
      </c>
      <c r="C9" s="1">
        <f>[1]Sheet1!$L$6</f>
        <v>2083.0500000000002</v>
      </c>
      <c r="D9" s="1">
        <f>[1]Sheet1!$M$6</f>
        <v>549.06799999999998</v>
      </c>
      <c r="E9" s="14">
        <f>[1]Sheet1!$V$6</f>
        <v>6012500</v>
      </c>
      <c r="F9" s="1" t="s">
        <v>57</v>
      </c>
      <c r="G9" s="1"/>
      <c r="I9" s="1"/>
      <c r="L9" s="1"/>
      <c r="M9" s="1"/>
      <c r="N9" s="1"/>
    </row>
    <row r="10" spans="1:17" x14ac:dyDescent="0.25">
      <c r="A10" s="1" t="str">
        <f>[1]Sheet1!$B$7</f>
        <v>INDAIRYSPE  EQ</v>
      </c>
      <c r="B10" s="8">
        <f t="shared" ref="B10:B52" ca="1" si="0">NOW()</f>
        <v>41597.661515740743</v>
      </c>
      <c r="C10" s="1">
        <f>[1]Sheet1!$L$7</f>
        <v>0</v>
      </c>
      <c r="D10" s="1">
        <f>[1]Sheet1!$M$7</f>
        <v>0</v>
      </c>
      <c r="E10" s="14">
        <f>[1]Sheet1!$V$7</f>
        <v>0</v>
      </c>
      <c r="F10" s="1"/>
      <c r="G10" s="1"/>
      <c r="I10" s="1"/>
      <c r="L10" s="1"/>
      <c r="M10" s="1"/>
      <c r="N10" s="1"/>
      <c r="O10" s="6"/>
      <c r="P10" s="9"/>
    </row>
    <row r="11" spans="1:17" x14ac:dyDescent="0.25">
      <c r="A11" s="1" t="str">
        <f>[1]Sheet1!$B$8</f>
        <v>INFY  EQ</v>
      </c>
      <c r="B11" s="8">
        <f t="shared" ca="1" si="0"/>
        <v>41597.661515740743</v>
      </c>
      <c r="C11" s="1">
        <f>[1]Sheet1!$L$8</f>
        <v>3360</v>
      </c>
      <c r="D11" s="1">
        <f>[1]Sheet1!$M$8</f>
        <v>508.59100000000001</v>
      </c>
      <c r="E11" s="14">
        <f>[1]Sheet1!$V$8</f>
        <v>4174625</v>
      </c>
      <c r="F11" s="1"/>
      <c r="G11" s="1"/>
      <c r="I11" s="1"/>
      <c r="L11" s="1"/>
      <c r="M11" s="1"/>
      <c r="N11" s="1"/>
      <c r="O11" s="6"/>
    </row>
    <row r="12" spans="1:17" x14ac:dyDescent="0.25">
      <c r="A12" s="1" t="str">
        <f>[1]Sheet1!$B$9</f>
        <v>TATACHEM  EQ</v>
      </c>
      <c r="B12" s="8">
        <f t="shared" ca="1" si="0"/>
        <v>41597.661515740743</v>
      </c>
      <c r="C12" s="1">
        <f>[1]Sheet1!$L$9</f>
        <v>270.5</v>
      </c>
      <c r="D12" s="1">
        <f>[1]Sheet1!$M$9</f>
        <v>74.534999999999997</v>
      </c>
      <c r="E12" s="14">
        <f>[1]Sheet1!$V$9</f>
        <v>13967412</v>
      </c>
      <c r="F12" s="1"/>
      <c r="G12" s="1"/>
      <c r="I12" s="1"/>
      <c r="L12" s="1"/>
      <c r="M12" s="1"/>
      <c r="N12" s="1"/>
      <c r="O12" s="1"/>
    </row>
    <row r="13" spans="1:17" s="1" customFormat="1" x14ac:dyDescent="0.25">
      <c r="A13" s="1" t="str">
        <f>[1]Sheet1!$B$10</f>
        <v>TATACOFFEE  EQ</v>
      </c>
      <c r="B13" s="8">
        <f t="shared" ca="1" si="0"/>
        <v>41597.661515624997</v>
      </c>
      <c r="C13" s="1">
        <f>[1]Sheet1!$L$10</f>
        <v>1028.9000000000001</v>
      </c>
      <c r="D13" s="1">
        <f>[1]Sheet1!$M$10</f>
        <v>108.94</v>
      </c>
      <c r="E13" s="14">
        <f>[1]Sheet1!$V$10</f>
        <v>13967412</v>
      </c>
      <c r="F13" s="14" t="s">
        <v>58</v>
      </c>
      <c r="H13" s="9"/>
      <c r="J13" s="4"/>
    </row>
    <row r="14" spans="1:17" s="1" customFormat="1" x14ac:dyDescent="0.25">
      <c r="A14" s="1" t="str">
        <f>[1]Sheet1!$B$11</f>
        <v>TATACOMM  EQ</v>
      </c>
      <c r="B14" s="8">
        <f t="shared" ca="1" si="0"/>
        <v>41597.661515624997</v>
      </c>
      <c r="C14" s="1">
        <f>[1]Sheet1!$L$11</f>
        <v>261.39999999999998</v>
      </c>
      <c r="D14" s="1">
        <f>[1]Sheet1!$M$11</f>
        <v>177.43299999999999</v>
      </c>
      <c r="E14" s="14">
        <f>[1]Sheet1!$V$11</f>
        <v>63353651</v>
      </c>
      <c r="H14" s="9"/>
      <c r="J14" s="4"/>
    </row>
    <row r="15" spans="1:17" s="1" customFormat="1" x14ac:dyDescent="0.25">
      <c r="A15" s="1" t="str">
        <f>[1]Sheet1!$B$12</f>
        <v>TATADVMATL  EQ</v>
      </c>
      <c r="B15" s="8">
        <f t="shared" ca="1" si="0"/>
        <v>41597.661515740743</v>
      </c>
      <c r="C15" s="1">
        <f>[1]Sheet1!$L$12</f>
        <v>0</v>
      </c>
      <c r="D15" s="1">
        <f>[1]Sheet1!$M$12</f>
        <v>0</v>
      </c>
      <c r="E15" s="14">
        <f>[1]Sheet1!$V$12</f>
        <v>0</v>
      </c>
      <c r="H15" s="9"/>
      <c r="J15" s="4"/>
    </row>
    <row r="16" spans="1:17" x14ac:dyDescent="0.25">
      <c r="A16" s="1">
        <f>[1]Sheet1!$B$13</f>
        <v>0</v>
      </c>
      <c r="B16" s="8">
        <f t="shared" ca="1" si="0"/>
        <v>41597.661515740743</v>
      </c>
      <c r="C16" s="1">
        <f>[1]Sheet1!$L$13</f>
        <v>0</v>
      </c>
      <c r="D16" s="1">
        <f>[1]Sheet1!$M$13</f>
        <v>0</v>
      </c>
      <c r="E16" s="14">
        <f>[1]Sheet1!$V$13</f>
        <v>0</v>
      </c>
      <c r="F16" s="1"/>
      <c r="G16" s="1"/>
      <c r="I16" s="1"/>
      <c r="L16" s="1"/>
      <c r="M16" s="1"/>
      <c r="N16" s="1"/>
      <c r="O16" s="6"/>
    </row>
    <row r="17" spans="1:15" s="1" customFormat="1" x14ac:dyDescent="0.25">
      <c r="A17" s="1">
        <f>[1]Sheet1!$B$14</f>
        <v>0</v>
      </c>
      <c r="B17" s="8">
        <f t="shared" ca="1" si="0"/>
        <v>41597.661515740743</v>
      </c>
      <c r="C17" s="1">
        <f>[1]Sheet1!$L$14</f>
        <v>0</v>
      </c>
      <c r="D17" s="1">
        <f>[1]Sheet1!$M$14</f>
        <v>0</v>
      </c>
      <c r="E17" s="14">
        <f>[1]Sheet1!$V$14</f>
        <v>0</v>
      </c>
      <c r="H17" s="9"/>
      <c r="I17" s="11" t="s">
        <v>43</v>
      </c>
      <c r="J17" s="4"/>
      <c r="O17" s="4"/>
    </row>
    <row r="18" spans="1:15" s="1" customFormat="1" x14ac:dyDescent="0.25">
      <c r="A18" s="1">
        <f>[1]Sheet1!$B$15</f>
        <v>0</v>
      </c>
      <c r="B18" s="8">
        <f t="shared" ca="1" si="0"/>
        <v>41597.661515740743</v>
      </c>
      <c r="C18" s="1">
        <f>[1]Sheet1!$L$15</f>
        <v>0</v>
      </c>
      <c r="D18" s="1">
        <f>[1]Sheet1!$M$15</f>
        <v>0</v>
      </c>
      <c r="E18" s="14">
        <f>[1]Sheet1!$V$15</f>
        <v>0</v>
      </c>
      <c r="H18" s="9"/>
      <c r="I18" s="11" t="s">
        <v>47</v>
      </c>
      <c r="J18" s="4"/>
    </row>
    <row r="19" spans="1:15" s="1" customFormat="1" x14ac:dyDescent="0.25">
      <c r="A19" s="1">
        <f>[1]Sheet1!$B$16</f>
        <v>0</v>
      </c>
      <c r="B19" s="8">
        <f t="shared" ca="1" si="0"/>
        <v>41597.661515740743</v>
      </c>
      <c r="C19" s="1">
        <f>[1]Sheet1!$L$16</f>
        <v>0</v>
      </c>
      <c r="D19" s="1">
        <f>[1]Sheet1!$M$16</f>
        <v>0</v>
      </c>
      <c r="E19" s="14">
        <f>[1]Sheet1!$V$16</f>
        <v>0</v>
      </c>
      <c r="H19" s="9"/>
      <c r="I19" s="11" t="s">
        <v>44</v>
      </c>
      <c r="J19" s="4"/>
    </row>
    <row r="20" spans="1:15" x14ac:dyDescent="0.25">
      <c r="A20" s="1">
        <f>[1]Sheet1!$B$17</f>
        <v>0</v>
      </c>
      <c r="B20" s="8">
        <f t="shared" ca="1" si="0"/>
        <v>41597.661515740743</v>
      </c>
      <c r="C20" s="1">
        <f>[1]Sheet1!$L$17</f>
        <v>0</v>
      </c>
      <c r="D20" s="1">
        <f>[1]Sheet1!$M$17</f>
        <v>0</v>
      </c>
      <c r="E20" s="14">
        <f>[1]Sheet1!$V$17</f>
        <v>0</v>
      </c>
      <c r="F20" s="1"/>
      <c r="I20" s="11" t="s">
        <v>45</v>
      </c>
      <c r="L20" s="1"/>
      <c r="M20" s="1"/>
      <c r="N20" s="1"/>
      <c r="O20" s="1"/>
    </row>
    <row r="21" spans="1:15" x14ac:dyDescent="0.25">
      <c r="A21" s="1">
        <f>[1]Sheet1!$B$18</f>
        <v>0</v>
      </c>
      <c r="B21" s="8">
        <f t="shared" ca="1" si="0"/>
        <v>41597.661515740743</v>
      </c>
      <c r="C21" s="1">
        <f>[1]Sheet1!$L$18</f>
        <v>0</v>
      </c>
      <c r="D21" s="1">
        <f>[1]Sheet1!$M$18</f>
        <v>0</v>
      </c>
      <c r="E21" s="14">
        <f>[1]Sheet1!$V$18</f>
        <v>0</v>
      </c>
      <c r="F21" s="1"/>
      <c r="I21" s="11" t="s">
        <v>46</v>
      </c>
      <c r="L21" s="1"/>
      <c r="M21" s="1"/>
      <c r="N21" s="1"/>
      <c r="O21" s="1"/>
    </row>
    <row r="22" spans="1:15" x14ac:dyDescent="0.25">
      <c r="A22" s="1">
        <f>[1]Sheet1!$B$19</f>
        <v>0</v>
      </c>
      <c r="B22" s="8">
        <f t="shared" ca="1" si="0"/>
        <v>41597.661515740743</v>
      </c>
      <c r="C22" s="1">
        <f>[1]Sheet1!$L$19</f>
        <v>0</v>
      </c>
      <c r="D22" s="1">
        <f>[1]Sheet1!$M$19</f>
        <v>0</v>
      </c>
      <c r="E22" s="14">
        <f>[1]Sheet1!$V$19</f>
        <v>0</v>
      </c>
      <c r="F22" s="1"/>
      <c r="I22" s="11" t="s">
        <v>49</v>
      </c>
      <c r="L22" s="1"/>
      <c r="M22" s="1"/>
      <c r="N22" s="1"/>
      <c r="O22" s="1"/>
    </row>
    <row r="23" spans="1:15" x14ac:dyDescent="0.25">
      <c r="A23" s="1">
        <f>[1]Sheet1!$B$20</f>
        <v>0</v>
      </c>
      <c r="B23" s="8">
        <f t="shared" ca="1" si="0"/>
        <v>41597.661515740743</v>
      </c>
      <c r="C23" s="1">
        <f>[1]Sheet1!$L$20</f>
        <v>0</v>
      </c>
      <c r="D23" s="1">
        <f>[1]Sheet1!$M$20</f>
        <v>0</v>
      </c>
      <c r="E23" s="14">
        <f>[1]Sheet1!$V$20</f>
        <v>0</v>
      </c>
      <c r="F23" s="1"/>
      <c r="G23" s="1"/>
      <c r="I23" s="1"/>
      <c r="L23" s="1"/>
      <c r="M23" s="1"/>
      <c r="N23" s="1"/>
    </row>
    <row r="24" spans="1:15" x14ac:dyDescent="0.25">
      <c r="A24" s="1">
        <f>[1]Sheet1!$B$21</f>
        <v>0</v>
      </c>
      <c r="B24" s="8">
        <f t="shared" ca="1" si="0"/>
        <v>41597.661515740743</v>
      </c>
      <c r="C24" s="1">
        <f>[1]Sheet1!$L$21</f>
        <v>0</v>
      </c>
      <c r="D24" s="1">
        <f>[1]Sheet1!$M$21</f>
        <v>0</v>
      </c>
      <c r="E24" s="14">
        <f>[1]Sheet1!$V$21</f>
        <v>0</v>
      </c>
      <c r="F24" s="1"/>
      <c r="G24" s="1"/>
      <c r="I24" s="32" t="s">
        <v>60</v>
      </c>
      <c r="L24" s="1"/>
      <c r="M24" s="1"/>
      <c r="N24" s="1"/>
    </row>
    <row r="25" spans="1:15" x14ac:dyDescent="0.25">
      <c r="A25" s="1">
        <f>[1]Sheet1!$B$22</f>
        <v>0</v>
      </c>
      <c r="B25" s="8">
        <f t="shared" ca="1" si="0"/>
        <v>41597.661515740743</v>
      </c>
      <c r="C25" s="1">
        <f>[1]Sheet1!$L$22</f>
        <v>0</v>
      </c>
      <c r="D25" s="1">
        <f>[1]Sheet1!$M$22</f>
        <v>0</v>
      </c>
      <c r="E25" s="14">
        <f>[1]Sheet1!$V$22</f>
        <v>0</v>
      </c>
      <c r="F25" s="1"/>
      <c r="G25" s="1"/>
      <c r="I25" s="1"/>
      <c r="L25" s="1"/>
      <c r="M25" s="1"/>
      <c r="N25" s="1"/>
    </row>
    <row r="26" spans="1:15" x14ac:dyDescent="0.25">
      <c r="A26" s="1">
        <f>[1]Sheet1!$B$23</f>
        <v>0</v>
      </c>
      <c r="B26" s="8">
        <f t="shared" ca="1" si="0"/>
        <v>41597.661515740743</v>
      </c>
      <c r="C26" s="1">
        <f>[1]Sheet1!$L$23</f>
        <v>0</v>
      </c>
      <c r="D26" s="1">
        <f>[1]Sheet1!$M$23</f>
        <v>0</v>
      </c>
      <c r="E26" s="14">
        <f>[1]Sheet1!$V$23</f>
        <v>0</v>
      </c>
      <c r="F26" s="1"/>
      <c r="G26" s="1"/>
      <c r="I26" s="12" t="s">
        <v>52</v>
      </c>
      <c r="L26" s="1"/>
      <c r="M26" s="1"/>
      <c r="N26" s="1"/>
    </row>
    <row r="27" spans="1:15" x14ac:dyDescent="0.25">
      <c r="A27" s="1">
        <f>[1]Sheet1!$B$24</f>
        <v>0</v>
      </c>
      <c r="B27" s="8">
        <f t="shared" ca="1" si="0"/>
        <v>41597.661515740743</v>
      </c>
      <c r="C27" s="1">
        <f>[1]Sheet1!$L$24</f>
        <v>0</v>
      </c>
      <c r="D27" s="1">
        <f>[1]Sheet1!$M$24</f>
        <v>0</v>
      </c>
      <c r="E27" s="14">
        <f>[1]Sheet1!$V$24</f>
        <v>0</v>
      </c>
      <c r="F27" s="1"/>
      <c r="G27" s="1"/>
      <c r="I27" s="13" t="s">
        <v>53</v>
      </c>
      <c r="L27" s="1"/>
      <c r="M27" s="1"/>
      <c r="N27" s="1"/>
    </row>
    <row r="28" spans="1:15" x14ac:dyDescent="0.25">
      <c r="A28" s="1">
        <f>[1]Sheet1!$B$25</f>
        <v>0</v>
      </c>
      <c r="B28" s="8">
        <f t="shared" ca="1" si="0"/>
        <v>41597.661515740743</v>
      </c>
      <c r="C28" s="1">
        <f>[1]Sheet1!$L$25</f>
        <v>0</v>
      </c>
      <c r="D28" s="1">
        <f>[1]Sheet1!$M$25</f>
        <v>0</v>
      </c>
      <c r="E28" s="14">
        <f>[1]Sheet1!$V$25</f>
        <v>0</v>
      </c>
      <c r="F28" s="1"/>
      <c r="G28" s="1"/>
      <c r="I28" s="1"/>
      <c r="L28" s="1"/>
      <c r="M28" s="1"/>
      <c r="N28" s="1"/>
    </row>
    <row r="29" spans="1:15" x14ac:dyDescent="0.25">
      <c r="A29" s="1">
        <f>[1]Sheet1!$B$26</f>
        <v>0</v>
      </c>
      <c r="B29" s="8">
        <f t="shared" ca="1" si="0"/>
        <v>41597.661515740743</v>
      </c>
      <c r="C29" s="1">
        <f>[1]Sheet1!$L$26</f>
        <v>0</v>
      </c>
      <c r="D29" s="1">
        <f>[1]Sheet1!$M$26</f>
        <v>0</v>
      </c>
      <c r="E29" s="14">
        <f>[1]Sheet1!$V$26</f>
        <v>0</v>
      </c>
      <c r="F29" s="1"/>
      <c r="G29" s="1"/>
      <c r="I29" s="1"/>
      <c r="L29" s="1"/>
      <c r="M29" s="1"/>
      <c r="N29" s="1"/>
    </row>
    <row r="30" spans="1:15" x14ac:dyDescent="0.25">
      <c r="A30" s="1">
        <f>[1]Sheet1!$B$27</f>
        <v>0</v>
      </c>
      <c r="B30" s="8">
        <f t="shared" ca="1" si="0"/>
        <v>41597.661515740743</v>
      </c>
      <c r="C30" s="1">
        <f>[1]Sheet1!$L$27</f>
        <v>0</v>
      </c>
      <c r="D30" s="1">
        <f>[1]Sheet1!$M$27</f>
        <v>0</v>
      </c>
      <c r="E30" s="14">
        <f>[1]Sheet1!$V$27</f>
        <v>0</v>
      </c>
      <c r="F30" s="1"/>
      <c r="I30" s="1"/>
      <c r="L30" s="1"/>
      <c r="M30" s="1"/>
      <c r="N30" s="1"/>
    </row>
    <row r="31" spans="1:15" x14ac:dyDescent="0.25">
      <c r="A31" s="1">
        <f>[1]Sheet1!$B$28</f>
        <v>0</v>
      </c>
      <c r="B31" s="8">
        <f t="shared" ca="1" si="0"/>
        <v>41597.661515740743</v>
      </c>
      <c r="C31" s="1">
        <f>[1]Sheet1!$L$28</f>
        <v>0</v>
      </c>
      <c r="D31" s="1">
        <f>[1]Sheet1!$M$28</f>
        <v>0</v>
      </c>
      <c r="E31" s="14">
        <f>[1]Sheet1!$V$28</f>
        <v>0</v>
      </c>
      <c r="F31" s="1"/>
      <c r="L31" s="1"/>
      <c r="M31" s="1"/>
    </row>
    <row r="32" spans="1:15" x14ac:dyDescent="0.25">
      <c r="A32" s="1">
        <f>[1]Sheet1!$B$29</f>
        <v>0</v>
      </c>
      <c r="B32" s="8">
        <f t="shared" ca="1" si="0"/>
        <v>41597.661515740743</v>
      </c>
      <c r="C32" s="1">
        <f>[1]Sheet1!$L$29</f>
        <v>0</v>
      </c>
      <c r="D32" s="1">
        <f>[1]Sheet1!$M$29</f>
        <v>0</v>
      </c>
      <c r="E32" s="14">
        <f>[1]Sheet1!$V$29</f>
        <v>0</v>
      </c>
      <c r="F32" s="1"/>
      <c r="L32" s="1"/>
      <c r="M32" s="1"/>
    </row>
    <row r="33" spans="1:12" x14ac:dyDescent="0.25">
      <c r="A33" s="1">
        <f>[1]Sheet1!$B$30</f>
        <v>0</v>
      </c>
      <c r="B33" s="8">
        <f t="shared" ca="1" si="0"/>
        <v>41597.661515740743</v>
      </c>
      <c r="C33" s="1">
        <f>[1]Sheet1!$L$30</f>
        <v>0</v>
      </c>
      <c r="D33" s="1">
        <f>[1]Sheet1!$M$30</f>
        <v>0</v>
      </c>
      <c r="E33" s="14">
        <f>[1]Sheet1!$V$30</f>
        <v>0</v>
      </c>
      <c r="F33" s="1"/>
      <c r="L33" s="1"/>
    </row>
    <row r="34" spans="1:12" x14ac:dyDescent="0.25">
      <c r="A34" s="1">
        <f>[1]Sheet1!$B$31</f>
        <v>0</v>
      </c>
      <c r="B34" s="8">
        <f t="shared" ca="1" si="0"/>
        <v>41597.661515740743</v>
      </c>
      <c r="C34" s="1">
        <f>[1]Sheet1!$L$31</f>
        <v>0</v>
      </c>
      <c r="D34" s="1">
        <f>[1]Sheet1!$M$31</f>
        <v>0</v>
      </c>
      <c r="E34" s="14">
        <f>[1]Sheet1!$V$31</f>
        <v>0</v>
      </c>
      <c r="F34" s="1"/>
      <c r="L34" s="1"/>
    </row>
    <row r="35" spans="1:12" x14ac:dyDescent="0.25">
      <c r="A35" s="1">
        <f>[1]Sheet1!$B$32</f>
        <v>0</v>
      </c>
      <c r="B35" s="8">
        <f t="shared" ca="1" si="0"/>
        <v>41597.661515740743</v>
      </c>
      <c r="C35" s="1">
        <f>[1]Sheet1!$L$32</f>
        <v>0</v>
      </c>
      <c r="D35" s="1">
        <f>[1]Sheet1!$M$32</f>
        <v>0</v>
      </c>
      <c r="E35" s="14">
        <f>[1]Sheet1!$V$32</f>
        <v>0</v>
      </c>
      <c r="F35" s="1"/>
      <c r="L35" s="1"/>
    </row>
    <row r="36" spans="1:12" x14ac:dyDescent="0.25">
      <c r="A36" s="1">
        <f>[1]Sheet1!$B$33</f>
        <v>0</v>
      </c>
      <c r="B36" s="8">
        <f t="shared" ca="1" si="0"/>
        <v>41597.661515740743</v>
      </c>
      <c r="C36" s="1">
        <f>[1]Sheet1!$L$33</f>
        <v>0</v>
      </c>
      <c r="D36" s="1">
        <f>[1]Sheet1!$M$33</f>
        <v>0</v>
      </c>
      <c r="E36" s="14">
        <f>[1]Sheet1!$V$33</f>
        <v>0</v>
      </c>
      <c r="F36" s="1"/>
      <c r="L36" s="1"/>
    </row>
    <row r="37" spans="1:12" x14ac:dyDescent="0.25">
      <c r="A37" s="1">
        <f>[1]Sheet1!$B$34</f>
        <v>0</v>
      </c>
      <c r="B37" s="8">
        <f t="shared" ca="1" si="0"/>
        <v>41597.661515740743</v>
      </c>
      <c r="C37" s="1">
        <f>[1]Sheet1!$L$34</f>
        <v>0</v>
      </c>
      <c r="D37" s="1">
        <f>[1]Sheet1!$M$34</f>
        <v>0</v>
      </c>
      <c r="E37" s="14">
        <f>[1]Sheet1!$V$34</f>
        <v>0</v>
      </c>
      <c r="F37" s="1"/>
      <c r="L37" s="1"/>
    </row>
    <row r="38" spans="1:12" x14ac:dyDescent="0.25">
      <c r="A38" s="1">
        <f>[1]Sheet1!$B$35</f>
        <v>0</v>
      </c>
      <c r="B38" s="8">
        <f t="shared" ca="1" si="0"/>
        <v>41597.661515740743</v>
      </c>
      <c r="C38" s="1">
        <f>[1]Sheet1!$L$35</f>
        <v>0</v>
      </c>
      <c r="D38" s="1">
        <f>[1]Sheet1!$M$35</f>
        <v>0</v>
      </c>
      <c r="E38" s="14">
        <f>[1]Sheet1!$V$35</f>
        <v>0</v>
      </c>
      <c r="F38" s="1"/>
      <c r="L38" s="1"/>
    </row>
    <row r="39" spans="1:12" x14ac:dyDescent="0.25">
      <c r="A39" s="1">
        <f>[1]Sheet1!$B$36</f>
        <v>0</v>
      </c>
      <c r="B39" s="8">
        <f t="shared" ca="1" si="0"/>
        <v>41597.661515740743</v>
      </c>
      <c r="C39" s="1">
        <f>[1]Sheet1!$L$36</f>
        <v>0</v>
      </c>
      <c r="D39" s="1">
        <f>[1]Sheet1!$M$36</f>
        <v>0</v>
      </c>
      <c r="E39" s="14">
        <f>[1]Sheet1!$V$36</f>
        <v>0</v>
      </c>
      <c r="F39" s="1"/>
      <c r="L39" s="1"/>
    </row>
    <row r="40" spans="1:12" x14ac:dyDescent="0.25">
      <c r="A40" s="1">
        <f>[1]Sheet1!$B$37</f>
        <v>0</v>
      </c>
      <c r="B40" s="8">
        <f t="shared" ca="1" si="0"/>
        <v>41597.661515740743</v>
      </c>
      <c r="C40" s="1">
        <f>[1]Sheet1!$L$37</f>
        <v>0</v>
      </c>
      <c r="D40" s="1">
        <f>[1]Sheet1!$M$37</f>
        <v>0</v>
      </c>
      <c r="E40" s="14">
        <f>[1]Sheet1!$V$37</f>
        <v>0</v>
      </c>
      <c r="F40" s="1"/>
      <c r="L40" s="1"/>
    </row>
    <row r="41" spans="1:12" x14ac:dyDescent="0.25">
      <c r="A41" s="1">
        <f>[1]Sheet1!$B$38</f>
        <v>0</v>
      </c>
      <c r="B41" s="8">
        <f t="shared" ca="1" si="0"/>
        <v>41597.661515740743</v>
      </c>
      <c r="C41" s="1">
        <f>[1]Sheet1!$L$38</f>
        <v>0</v>
      </c>
      <c r="D41" s="1">
        <f>[1]Sheet1!$M$38</f>
        <v>0</v>
      </c>
      <c r="E41" s="14">
        <f>[1]Sheet1!$V$38</f>
        <v>0</v>
      </c>
      <c r="F41" s="1"/>
      <c r="L41" s="1"/>
    </row>
    <row r="42" spans="1:12" x14ac:dyDescent="0.25">
      <c r="A42" s="1">
        <f>[1]Sheet1!$B$39</f>
        <v>0</v>
      </c>
      <c r="B42" s="8">
        <f t="shared" ca="1" si="0"/>
        <v>41597.661515740743</v>
      </c>
      <c r="C42" s="1">
        <f>[1]Sheet1!$L$39</f>
        <v>0</v>
      </c>
      <c r="D42" s="1">
        <f>[1]Sheet1!$M$139</f>
        <v>0</v>
      </c>
      <c r="E42" s="14">
        <f>[1]Sheet1!$V$39</f>
        <v>0</v>
      </c>
      <c r="F42" s="1"/>
      <c r="L42" s="1"/>
    </row>
    <row r="43" spans="1:12" x14ac:dyDescent="0.25">
      <c r="A43" s="1">
        <f>[1]Sheet1!$B$40</f>
        <v>0</v>
      </c>
      <c r="B43" s="8">
        <f t="shared" ca="1" si="0"/>
        <v>41597.661515740743</v>
      </c>
      <c r="C43" s="1">
        <f>[1]Sheet1!$L$40</f>
        <v>0</v>
      </c>
      <c r="D43" s="1">
        <f>[1]Sheet1!$M$40</f>
        <v>0</v>
      </c>
      <c r="E43" s="14">
        <f>[1]Sheet1!$V$40</f>
        <v>0</v>
      </c>
      <c r="F43" s="1"/>
      <c r="L43" s="1"/>
    </row>
    <row r="44" spans="1:12" x14ac:dyDescent="0.25">
      <c r="A44" s="1">
        <f>[1]Sheet1!$B$41</f>
        <v>0</v>
      </c>
      <c r="B44" s="8">
        <f t="shared" ca="1" si="0"/>
        <v>41597.661515740743</v>
      </c>
      <c r="C44" s="1">
        <f>[1]Sheet1!$L$41</f>
        <v>0</v>
      </c>
      <c r="D44" s="1">
        <f>[1]Sheet1!$M$41</f>
        <v>0</v>
      </c>
      <c r="E44" s="14">
        <f>[1]Sheet1!$V$41</f>
        <v>0</v>
      </c>
      <c r="F44" s="1"/>
      <c r="L44" s="1"/>
    </row>
    <row r="45" spans="1:12" x14ac:dyDescent="0.25">
      <c r="A45" s="1">
        <f>[1]Sheet1!$B$42</f>
        <v>0</v>
      </c>
      <c r="B45" s="8">
        <f t="shared" ca="1" si="0"/>
        <v>41597.661515740743</v>
      </c>
      <c r="C45" s="1">
        <f>[1]Sheet1!$L$42</f>
        <v>0</v>
      </c>
      <c r="D45" s="1">
        <f>[1]Sheet1!$M$42</f>
        <v>0</v>
      </c>
      <c r="E45" s="14">
        <f>[1]Sheet1!$V$42</f>
        <v>0</v>
      </c>
      <c r="F45" s="1"/>
      <c r="L45" s="1"/>
    </row>
    <row r="46" spans="1:12" x14ac:dyDescent="0.25">
      <c r="A46" s="1">
        <f>[1]Sheet1!$B$43</f>
        <v>0</v>
      </c>
      <c r="B46" s="8">
        <f t="shared" ca="1" si="0"/>
        <v>41597.661515740743</v>
      </c>
      <c r="C46" s="1">
        <f>[1]Sheet1!$L$43</f>
        <v>0</v>
      </c>
      <c r="D46" s="1">
        <f>[1]Sheet1!$M$43</f>
        <v>0</v>
      </c>
      <c r="E46" s="14">
        <f>[1]Sheet1!$V$43</f>
        <v>0</v>
      </c>
      <c r="F46" s="1"/>
      <c r="L46" s="1"/>
    </row>
    <row r="47" spans="1:12" x14ac:dyDescent="0.25">
      <c r="A47" s="1">
        <f>[1]Sheet1!$B$44</f>
        <v>0</v>
      </c>
      <c r="B47" s="8">
        <f t="shared" ca="1" si="0"/>
        <v>41597.661515740743</v>
      </c>
      <c r="C47" s="1">
        <f>[1]Sheet1!$L$44</f>
        <v>0</v>
      </c>
      <c r="D47" s="1">
        <f>[1]Sheet1!$M$44</f>
        <v>0</v>
      </c>
      <c r="E47" s="14">
        <f>[1]Sheet1!$V$44</f>
        <v>0</v>
      </c>
      <c r="F47" s="1"/>
      <c r="L47" s="1"/>
    </row>
    <row r="48" spans="1:12" x14ac:dyDescent="0.25">
      <c r="A48" s="1">
        <f>[1]Sheet1!$B$45</f>
        <v>0</v>
      </c>
      <c r="B48" s="8">
        <f t="shared" ca="1" si="0"/>
        <v>41597.661515740743</v>
      </c>
      <c r="C48" s="1">
        <f>[1]Sheet1!$L$45</f>
        <v>0</v>
      </c>
      <c r="D48" s="1">
        <f>[1]Sheet1!$M$45</f>
        <v>0</v>
      </c>
      <c r="E48" s="14">
        <f>[1]Sheet1!$V$45</f>
        <v>0</v>
      </c>
      <c r="F48" s="1"/>
      <c r="L48" s="1"/>
    </row>
    <row r="49" spans="1:12" x14ac:dyDescent="0.25">
      <c r="A49" s="1">
        <f>[1]Sheet1!$B$46</f>
        <v>0</v>
      </c>
      <c r="B49" s="8">
        <f t="shared" ca="1" si="0"/>
        <v>41597.661515740743</v>
      </c>
      <c r="C49" s="1">
        <f>[1]Sheet1!$L$46</f>
        <v>0</v>
      </c>
      <c r="D49" s="1">
        <f>[1]Sheet1!$M$46</f>
        <v>0</v>
      </c>
      <c r="E49" s="14">
        <f>[1]Sheet1!$V$46</f>
        <v>0</v>
      </c>
      <c r="F49" s="1"/>
      <c r="L49" s="1"/>
    </row>
    <row r="50" spans="1:12" x14ac:dyDescent="0.25">
      <c r="A50" s="1">
        <f>[1]Sheet1!$B$47</f>
        <v>0</v>
      </c>
      <c r="B50" s="8">
        <f t="shared" ca="1" si="0"/>
        <v>41597.661515740743</v>
      </c>
      <c r="C50" s="1">
        <f>[1]Sheet1!$L$47</f>
        <v>0</v>
      </c>
      <c r="D50" s="1">
        <f>[1]Sheet1!$M$47</f>
        <v>0</v>
      </c>
      <c r="E50" s="14">
        <f>[1]Sheet1!$V$47</f>
        <v>0</v>
      </c>
      <c r="F50" s="1"/>
      <c r="L50" s="1"/>
    </row>
    <row r="51" spans="1:12" x14ac:dyDescent="0.25">
      <c r="A51" s="1">
        <f>[1]Sheet1!$B$48</f>
        <v>0</v>
      </c>
      <c r="B51" s="8">
        <f t="shared" ca="1" si="0"/>
        <v>41597.661515740743</v>
      </c>
      <c r="C51" s="1">
        <f>[1]Sheet1!$L$48</f>
        <v>0</v>
      </c>
      <c r="D51" s="1">
        <f>[1]Sheet1!$M$48</f>
        <v>0</v>
      </c>
      <c r="E51" s="14">
        <f>[1]Sheet1!$V$48</f>
        <v>0</v>
      </c>
      <c r="F51" s="1"/>
      <c r="L51" s="1"/>
    </row>
    <row r="52" spans="1:12" x14ac:dyDescent="0.25">
      <c r="A52" s="1">
        <f>[1]Sheet1!$B$49</f>
        <v>0</v>
      </c>
      <c r="B52" s="8">
        <f t="shared" ca="1" si="0"/>
        <v>41597.661515740743</v>
      </c>
      <c r="C52" s="1">
        <f>[1]Sheet1!$L$49</f>
        <v>0</v>
      </c>
      <c r="D52" s="1">
        <f>[1]Sheet1!$M$49</f>
        <v>0</v>
      </c>
      <c r="E52" s="14">
        <f>[1]Sheet1!$V$49</f>
        <v>0</v>
      </c>
      <c r="F52" s="1"/>
      <c r="L52" s="1"/>
    </row>
    <row r="53" spans="1:12" x14ac:dyDescent="0.25">
      <c r="C53" s="1"/>
      <c r="L53" s="1"/>
    </row>
    <row r="54" spans="1:12" x14ac:dyDescent="0.25">
      <c r="C54" s="1"/>
      <c r="L54" s="1"/>
    </row>
    <row r="55" spans="1:12" x14ac:dyDescent="0.25">
      <c r="L55" s="1"/>
    </row>
    <row r="56" spans="1:12" x14ac:dyDescent="0.25">
      <c r="L56" s="1"/>
    </row>
    <row r="57" spans="1:12" x14ac:dyDescent="0.25">
      <c r="L57" s="1"/>
    </row>
    <row r="58" spans="1:12" x14ac:dyDescent="0.25">
      <c r="L58" s="1"/>
    </row>
    <row r="59" spans="1:12" x14ac:dyDescent="0.25">
      <c r="L59" s="1"/>
    </row>
    <row r="60" spans="1:12" x14ac:dyDescent="0.25">
      <c r="L60" s="1"/>
    </row>
    <row r="61" spans="1:12" x14ac:dyDescent="0.25">
      <c r="L61" s="1"/>
    </row>
    <row r="62" spans="1:12" x14ac:dyDescent="0.25">
      <c r="L62" s="1"/>
    </row>
  </sheetData>
  <dataConsolidate/>
  <dataValidations count="2">
    <dataValidation type="list" allowBlank="1" showInputMessage="1" showErrorMessage="1" sqref="B4">
      <formula1>D1:D3</formula1>
    </dataValidation>
    <dataValidation type="list" allowBlank="1" showInputMessage="1" showErrorMessage="1" sqref="B3">
      <formula1>L1:L62</formula1>
    </dataValidation>
  </dataValidations>
  <hyperlinks>
    <hyperlink ref="I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762000</xdr:colOff>
                    <xdr:row>0</xdr:row>
                    <xdr:rowOff>19050</xdr:rowOff>
                  </from>
                  <to>
                    <xdr:col>5</xdr:col>
                    <xdr:colOff>266700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762000</xdr:colOff>
                    <xdr:row>2</xdr:row>
                    <xdr:rowOff>57150</xdr:rowOff>
                  </from>
                  <to>
                    <xdr:col>5</xdr:col>
                    <xdr:colOff>266700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4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7"/>
      <c r="E1" s="1"/>
      <c r="F1" s="1"/>
      <c r="G1" s="1"/>
      <c r="H1" s="1"/>
    </row>
    <row r="2" spans="1:270" x14ac:dyDescent="0.25">
      <c r="A2" s="1" t="s">
        <v>12</v>
      </c>
      <c r="B2" s="1">
        <v>5395.45</v>
      </c>
      <c r="C2" s="1" t="s">
        <v>39</v>
      </c>
      <c r="L2" s="1" t="s">
        <v>22</v>
      </c>
    </row>
    <row r="3" spans="1:270" x14ac:dyDescent="0.25">
      <c r="A3" s="1" t="s">
        <v>6</v>
      </c>
      <c r="B3" s="1">
        <v>1126.3499999999999</v>
      </c>
      <c r="C3" s="1" t="s">
        <v>33</v>
      </c>
      <c r="L3" s="1" t="s">
        <v>23</v>
      </c>
    </row>
    <row r="4" spans="1:270" x14ac:dyDescent="0.25">
      <c r="A4" s="1" t="s">
        <v>7</v>
      </c>
      <c r="B4" s="1">
        <v>312.8</v>
      </c>
      <c r="C4" s="1" t="s">
        <v>39</v>
      </c>
      <c r="L4" s="1" t="s">
        <v>10</v>
      </c>
      <c r="M4" s="1">
        <v>207437</v>
      </c>
    </row>
    <row r="5" spans="1:270" x14ac:dyDescent="0.25">
      <c r="A5" s="1" t="s">
        <v>21</v>
      </c>
      <c r="B5" s="1">
        <v>591.5</v>
      </c>
      <c r="C5" s="1" t="s">
        <v>39</v>
      </c>
      <c r="M5" s="1" t="s">
        <v>11</v>
      </c>
      <c r="N5" s="1" t="s">
        <v>27</v>
      </c>
      <c r="O5" s="1" t="s">
        <v>12</v>
      </c>
    </row>
    <row r="6" spans="1:270" x14ac:dyDescent="0.25">
      <c r="A6" s="1"/>
      <c r="B6" s="1"/>
      <c r="M6" s="1" t="s">
        <v>13</v>
      </c>
      <c r="N6" s="1" t="s">
        <v>27</v>
      </c>
      <c r="O6" s="1" t="s">
        <v>14</v>
      </c>
    </row>
    <row r="7" spans="1:270" x14ac:dyDescent="0.25">
      <c r="A7" s="1"/>
      <c r="B7" s="1"/>
      <c r="M7" s="1" t="s">
        <v>15</v>
      </c>
      <c r="N7" s="1" t="s">
        <v>27</v>
      </c>
      <c r="O7" s="1">
        <v>5395.45</v>
      </c>
    </row>
    <row r="8" spans="1:270" x14ac:dyDescent="0.25">
      <c r="A8" s="1"/>
      <c r="B8" s="1"/>
      <c r="M8" s="1" t="s">
        <v>16</v>
      </c>
      <c r="N8" s="1" t="s">
        <v>27</v>
      </c>
      <c r="O8" s="1" t="s">
        <v>36</v>
      </c>
    </row>
    <row r="9" spans="1:270" x14ac:dyDescent="0.25">
      <c r="A9" s="1"/>
      <c r="B9" s="1"/>
      <c r="M9" s="1" t="s">
        <v>8</v>
      </c>
      <c r="N9" s="1" t="s">
        <v>28</v>
      </c>
      <c r="O9" s="1">
        <v>0</v>
      </c>
    </row>
    <row r="10" spans="1:270" x14ac:dyDescent="0.25">
      <c r="A10" s="1"/>
      <c r="B10" s="1"/>
      <c r="M10" s="1" t="s">
        <v>9</v>
      </c>
      <c r="N10" s="1" t="s">
        <v>29</v>
      </c>
      <c r="O10" s="1" t="s">
        <v>39</v>
      </c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</row>
    <row r="11" spans="1:270" x14ac:dyDescent="0.25">
      <c r="A11" s="1"/>
      <c r="B11" s="1"/>
      <c r="M11" s="1" t="s">
        <v>17</v>
      </c>
      <c r="N11" s="1" t="s">
        <v>27</v>
      </c>
      <c r="O11" s="1" t="s">
        <v>37</v>
      </c>
    </row>
    <row r="12" spans="1:270" x14ac:dyDescent="0.25">
      <c r="A12" s="1"/>
      <c r="B12" s="1"/>
      <c r="M12" s="1" t="s">
        <v>18</v>
      </c>
      <c r="N12" s="1" t="s">
        <v>27</v>
      </c>
      <c r="O12" s="1">
        <v>-112.4</v>
      </c>
    </row>
    <row r="13" spans="1:270" x14ac:dyDescent="0.25">
      <c r="A13" s="1"/>
      <c r="M13" s="1" t="s">
        <v>19</v>
      </c>
      <c r="N13" s="1" t="s">
        <v>27</v>
      </c>
      <c r="O13" s="1">
        <v>-2.04</v>
      </c>
    </row>
    <row r="14" spans="1:270" x14ac:dyDescent="0.25">
      <c r="M14" s="1" t="s">
        <v>20</v>
      </c>
      <c r="N14" s="1" t="s">
        <v>27</v>
      </c>
      <c r="O14" s="1" t="s">
        <v>30</v>
      </c>
    </row>
    <row r="15" spans="1:270" x14ac:dyDescent="0.25">
      <c r="L15" s="1" t="s">
        <v>24</v>
      </c>
    </row>
    <row r="16" spans="1:270" x14ac:dyDescent="0.25">
      <c r="L16" s="1" t="s">
        <v>23</v>
      </c>
    </row>
    <row r="17" spans="12:270" x14ac:dyDescent="0.25">
      <c r="L17" s="1" t="s">
        <v>10</v>
      </c>
      <c r="M17" s="1">
        <v>11787956</v>
      </c>
    </row>
    <row r="18" spans="12:270" x14ac:dyDescent="0.25">
      <c r="M18" s="1" t="s">
        <v>11</v>
      </c>
      <c r="N18" s="1" t="s">
        <v>27</v>
      </c>
      <c r="O18" s="1" t="s">
        <v>6</v>
      </c>
    </row>
    <row r="19" spans="12:270" x14ac:dyDescent="0.25">
      <c r="M19" s="1" t="s">
        <v>13</v>
      </c>
      <c r="N19" s="1" t="s">
        <v>27</v>
      </c>
      <c r="O19" s="1" t="s">
        <v>14</v>
      </c>
    </row>
    <row r="20" spans="12:270" x14ac:dyDescent="0.25">
      <c r="M20" s="1" t="s">
        <v>15</v>
      </c>
      <c r="N20" s="1" t="s">
        <v>27</v>
      </c>
      <c r="O20" s="1">
        <v>1126.3499999999999</v>
      </c>
    </row>
    <row r="21" spans="12:270" x14ac:dyDescent="0.25">
      <c r="M21" s="1" t="s">
        <v>16</v>
      </c>
      <c r="N21" s="1" t="s">
        <v>27</v>
      </c>
      <c r="O21" s="1" t="s">
        <v>35</v>
      </c>
    </row>
    <row r="22" spans="12:270" x14ac:dyDescent="0.25">
      <c r="M22" s="1" t="s">
        <v>8</v>
      </c>
      <c r="N22" s="1" t="s">
        <v>28</v>
      </c>
      <c r="O22" s="1">
        <v>0</v>
      </c>
    </row>
    <row r="23" spans="12:270" x14ac:dyDescent="0.25">
      <c r="M23" s="1" t="s">
        <v>9</v>
      </c>
      <c r="N23" s="1" t="s">
        <v>29</v>
      </c>
      <c r="O23" s="1" t="s">
        <v>33</v>
      </c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</row>
    <row r="24" spans="12:270" x14ac:dyDescent="0.25">
      <c r="M24" s="1" t="s">
        <v>17</v>
      </c>
      <c r="N24" s="1" t="s">
        <v>27</v>
      </c>
      <c r="O24" s="1" t="s">
        <v>32</v>
      </c>
    </row>
    <row r="25" spans="12:270" x14ac:dyDescent="0.25">
      <c r="M25" s="1" t="s">
        <v>18</v>
      </c>
      <c r="N25" s="1" t="s">
        <v>27</v>
      </c>
      <c r="O25" s="1">
        <v>-32.549999999999997</v>
      </c>
    </row>
    <row r="26" spans="12:270" x14ac:dyDescent="0.25">
      <c r="M26" s="1" t="s">
        <v>19</v>
      </c>
      <c r="N26" s="1" t="s">
        <v>27</v>
      </c>
      <c r="O26" s="1">
        <v>-2.81</v>
      </c>
    </row>
    <row r="27" spans="12:270" x14ac:dyDescent="0.25">
      <c r="M27" s="1" t="s">
        <v>20</v>
      </c>
      <c r="N27" s="1" t="s">
        <v>27</v>
      </c>
      <c r="O27" s="1" t="s">
        <v>30</v>
      </c>
    </row>
    <row r="28" spans="12:270" x14ac:dyDescent="0.25">
      <c r="L28" s="1" t="s">
        <v>24</v>
      </c>
    </row>
    <row r="29" spans="12:270" x14ac:dyDescent="0.25">
      <c r="L29" s="1" t="s">
        <v>23</v>
      </c>
    </row>
    <row r="30" spans="12:270" x14ac:dyDescent="0.25">
      <c r="L30" s="1" t="s">
        <v>10</v>
      </c>
      <c r="M30" s="1">
        <v>4153787</v>
      </c>
    </row>
    <row r="31" spans="12:270" x14ac:dyDescent="0.25">
      <c r="M31" s="1" t="s">
        <v>11</v>
      </c>
      <c r="N31" s="1" t="s">
        <v>27</v>
      </c>
      <c r="O31" s="1" t="s">
        <v>7</v>
      </c>
    </row>
    <row r="32" spans="12:270" x14ac:dyDescent="0.25">
      <c r="M32" s="1" t="s">
        <v>13</v>
      </c>
      <c r="N32" s="1" t="s">
        <v>27</v>
      </c>
      <c r="O32" s="1" t="s">
        <v>14</v>
      </c>
    </row>
    <row r="33" spans="12:270" x14ac:dyDescent="0.25">
      <c r="M33" s="1" t="s">
        <v>15</v>
      </c>
      <c r="N33" s="1" t="s">
        <v>27</v>
      </c>
      <c r="O33" s="1">
        <v>312.8</v>
      </c>
    </row>
    <row r="34" spans="12:270" x14ac:dyDescent="0.25">
      <c r="M34" s="1" t="s">
        <v>16</v>
      </c>
      <c r="N34" s="1" t="s">
        <v>27</v>
      </c>
      <c r="O34" s="1" t="s">
        <v>38</v>
      </c>
    </row>
    <row r="35" spans="12:270" x14ac:dyDescent="0.25">
      <c r="M35" s="1" t="s">
        <v>8</v>
      </c>
      <c r="N35" s="1" t="s">
        <v>28</v>
      </c>
      <c r="O35" s="1">
        <v>0</v>
      </c>
    </row>
    <row r="36" spans="12:270" x14ac:dyDescent="0.25">
      <c r="M36" s="1" t="s">
        <v>9</v>
      </c>
      <c r="N36" s="1" t="s">
        <v>29</v>
      </c>
      <c r="O36" s="1" t="s">
        <v>39</v>
      </c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2:270" x14ac:dyDescent="0.25">
      <c r="M37" s="1" t="s">
        <v>17</v>
      </c>
      <c r="N37" s="1" t="s">
        <v>27</v>
      </c>
      <c r="O37" s="1" t="s">
        <v>37</v>
      </c>
    </row>
    <row r="38" spans="12:270" x14ac:dyDescent="0.25">
      <c r="M38" s="1" t="s">
        <v>18</v>
      </c>
      <c r="N38" s="1" t="s">
        <v>27</v>
      </c>
      <c r="O38" s="1">
        <v>-7.6</v>
      </c>
    </row>
    <row r="39" spans="12:270" x14ac:dyDescent="0.25">
      <c r="M39" s="1" t="s">
        <v>19</v>
      </c>
      <c r="N39" s="1" t="s">
        <v>27</v>
      </c>
      <c r="O39" s="1">
        <v>-2.37</v>
      </c>
    </row>
    <row r="40" spans="12:270" x14ac:dyDescent="0.25">
      <c r="M40" s="1" t="s">
        <v>20</v>
      </c>
      <c r="N40" s="1" t="s">
        <v>27</v>
      </c>
      <c r="O40" s="1" t="s">
        <v>30</v>
      </c>
    </row>
    <row r="41" spans="12:270" x14ac:dyDescent="0.25">
      <c r="L41" s="1" t="s">
        <v>24</v>
      </c>
    </row>
    <row r="42" spans="12:270" x14ac:dyDescent="0.25">
      <c r="L42" s="1" t="s">
        <v>23</v>
      </c>
    </row>
    <row r="43" spans="12:270" x14ac:dyDescent="0.25">
      <c r="L43" s="1" t="s">
        <v>10</v>
      </c>
      <c r="M43" s="1">
        <v>267163</v>
      </c>
    </row>
    <row r="44" spans="12:270" x14ac:dyDescent="0.25">
      <c r="M44" s="1" t="s">
        <v>11</v>
      </c>
      <c r="N44" s="1" t="s">
        <v>27</v>
      </c>
      <c r="O44" s="1" t="s">
        <v>21</v>
      </c>
    </row>
    <row r="45" spans="12:270" x14ac:dyDescent="0.25">
      <c r="M45" s="1" t="s">
        <v>13</v>
      </c>
      <c r="N45" s="1" t="s">
        <v>27</v>
      </c>
      <c r="O45" s="1" t="s">
        <v>14</v>
      </c>
    </row>
    <row r="46" spans="12:270" x14ac:dyDescent="0.25">
      <c r="M46" s="1" t="s">
        <v>15</v>
      </c>
      <c r="N46" s="1" t="s">
        <v>27</v>
      </c>
      <c r="O46" s="1">
        <v>591.5</v>
      </c>
    </row>
    <row r="47" spans="12:270" x14ac:dyDescent="0.25">
      <c r="M47" s="1" t="s">
        <v>16</v>
      </c>
      <c r="N47" s="1" t="s">
        <v>27</v>
      </c>
      <c r="O47" s="1" t="s">
        <v>34</v>
      </c>
    </row>
    <row r="48" spans="12:270" x14ac:dyDescent="0.25">
      <c r="M48" s="1" t="s">
        <v>8</v>
      </c>
      <c r="N48" s="1" t="s">
        <v>28</v>
      </c>
      <c r="O48" s="1">
        <v>0</v>
      </c>
    </row>
    <row r="49" spans="12:270" x14ac:dyDescent="0.25">
      <c r="M49" s="1" t="s">
        <v>9</v>
      </c>
      <c r="N49" s="1" t="s">
        <v>29</v>
      </c>
      <c r="O49" s="1" t="s">
        <v>39</v>
      </c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2:270" x14ac:dyDescent="0.25">
      <c r="M50" s="1" t="s">
        <v>17</v>
      </c>
      <c r="N50" s="1" t="s">
        <v>27</v>
      </c>
      <c r="O50" s="1" t="s">
        <v>37</v>
      </c>
    </row>
    <row r="51" spans="12:270" x14ac:dyDescent="0.25">
      <c r="M51" s="1" t="s">
        <v>18</v>
      </c>
      <c r="N51" s="1" t="s">
        <v>27</v>
      </c>
      <c r="O51" s="1">
        <v>-7.5</v>
      </c>
    </row>
    <row r="52" spans="12:270" x14ac:dyDescent="0.25">
      <c r="M52" s="1" t="s">
        <v>19</v>
      </c>
      <c r="N52" s="1" t="s">
        <v>27</v>
      </c>
      <c r="O52" s="1">
        <v>-1.25</v>
      </c>
    </row>
    <row r="53" spans="12:270" x14ac:dyDescent="0.25">
      <c r="M53" s="1" t="s">
        <v>20</v>
      </c>
      <c r="N53" s="1" t="s">
        <v>27</v>
      </c>
      <c r="O53" s="1" t="s">
        <v>30</v>
      </c>
    </row>
    <row r="54" spans="12:270" x14ac:dyDescent="0.25">
      <c r="L54" s="1" t="s">
        <v>24</v>
      </c>
    </row>
    <row r="55" spans="12:270" x14ac:dyDescent="0.25">
      <c r="L55" s="1" t="s">
        <v>25</v>
      </c>
    </row>
    <row r="56" spans="12:270" x14ac:dyDescent="0.25">
      <c r="L56" s="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2013-11-19T10:22:36Z</dcterms:modified>
  <cp:category>ODIN </cp:category>
</cp:coreProperties>
</file>