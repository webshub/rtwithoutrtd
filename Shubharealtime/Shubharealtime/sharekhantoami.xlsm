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workbookProtection workbookPassword="D1D0" lockStructure="1"/>
  <bookViews>
    <workbookView xWindow="360" yWindow="105" windowWidth="19320" windowHeight="7455"/>
  </bookViews>
  <sheets>
    <sheet name="shubhalabha" sheetId="1" r:id="rId1"/>
    <sheet name="Google" sheetId="2" state="hidden" r:id="rId2"/>
  </sheets>
  <externalReferences>
    <externalReference r:id="rId3"/>
  </externalReferences>
  <definedNames>
    <definedName name="ExternalData_1" localSheetId="1">Google!#REF!</definedName>
    <definedName name="ExternalData_2" localSheetId="1">Google!#REF!</definedName>
    <definedName name="ExternalData_3" localSheetId="1">Google!#REF!</definedName>
    <definedName name="ExternalData_4" localSheetId="1">Google!#REF!</definedName>
    <definedName name="ExternalData_5" localSheetId="1">Google!#REF!</definedName>
    <definedName name="ExternalData_6" localSheetId="1">Google!#REF!</definedName>
    <definedName name="ExternalData_7" localSheetId="1">Google!#REF!</definedName>
    <definedName name="ExternalData_8" localSheetId="1">Google!#REF!</definedName>
    <definedName name="ExternalData_9" localSheetId="1">Google!$L$1:$L$56</definedName>
    <definedName name="Prices" localSheetId="1">Google!$A:$C</definedName>
    <definedName name="Prices">Google!$A:$C</definedName>
  </definedNames>
  <calcPr calcId="145621"/>
</workbook>
</file>

<file path=xl/calcChain.xml><?xml version="1.0" encoding="utf-8"?>
<calcChain xmlns="http://schemas.openxmlformats.org/spreadsheetml/2006/main">
  <c r="D11" i="1" l="1"/>
  <c r="C10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0" i="1"/>
  <c r="D9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9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B10" i="1" l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9" i="1" l="1"/>
  <c r="B5" i="1" l="1"/>
</calcChain>
</file>

<file path=xl/comments1.xml><?xml version="1.0" encoding="utf-8"?>
<comments xmlns="http://schemas.openxmlformats.org/spreadsheetml/2006/main">
  <authors>
    <author>sapuser</author>
  </authors>
  <commentList>
    <comment ref="B1" authorId="0">
      <text>
        <r>
          <rPr>
            <sz val="11"/>
            <color indexed="10"/>
            <rFont val="Tahoma"/>
            <family val="2"/>
          </rPr>
          <t>Keep  B1 empty if you do not have AmiBroker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3" background="1">
    <webPr xl2000="1" url="http://finance.google.com/finance/info?client=ig&amp;q=NSE:NIFTY,NSE:ACC,NSE:ITC,NSE:Nifty," htmlFormat="all"/>
  </connection>
  <connection id="2" name="Connection1" type="4" refreshedVersion="3" background="1">
    <webPr xl2000="1" url="http://finance.google.com/finance/info?client=ig&amp;q=NSE:NIFTY,NSE:ACC,NSE:ITC,NSE:Nifty," htmlFormat="all"/>
  </connection>
  <connection id="3" name="Connection10" type="4" refreshedVersion="4" background="1" saveData="1">
    <webPr xl2000="1" url="http://finance.google.com/finance/info?client=ig&amp;q=NSE:NIFTY,NSE:ACC,NSE:ITC,NSE:HINDUNILVR" htmlFormat="all"/>
  </connection>
  <connection id="4" name="Connection2" type="4" refreshedVersion="3" background="1">
    <webPr xl2000="1" url="http://finance.google.com/finance/info?client=ig&amp;q=NSE:NIFTY,NSE:ACC,NSE:ITC,NSE:HINDUNILVR," htmlFormat="all"/>
  </connection>
  <connection id="5" name="Connection3" type="4" refreshedVersion="3" background="1">
    <webPr xl2000="1" url="http://finance.google.com/finance/info?client=ig&amp;q=NSE:NIFTY,NSE:ACC,NSE:ITC,NSE:HINDUNILVR," htmlFormat="all"/>
  </connection>
  <connection id="6" name="Connection4" type="4" refreshedVersion="3" background="1">
    <webPr xl2000="1" url="http://finance.google.com/finance/info?client=ig&amp;q=NSE:NIFTY,NSE:ACC,NSE:ITC,NSE:HINDUNILVR," htmlFormat="all"/>
  </connection>
  <connection id="7" name="Connection5" type="4" refreshedVersion="0" background="1">
    <webPr url="http://finance.google.com/finance/info?client=ig&amp;q=NSE:NIFTY,NSE:ACC,NSE:ITC,NSE:HINDUNILVR," htmlTables="1" htmlFormat="all"/>
  </connection>
  <connection id="8" name="Connection6" type="4" refreshedVersion="0" background="1">
    <webPr url="http://finance.google.com/finance/info?client=ig&amp;q=NSE:NIFTY,NSE:ACC,NSE:ITC,NSE:HINDUNILVR," htmlTables="1" htmlFormat="all"/>
  </connection>
  <connection id="9" name="Connection7" type="4" refreshedVersion="3" background="1">
    <webPr xl2000="1" url="http://finance.google.com/finance/info?client=ig&amp;q=NSE:NIFTY,NSE:ACC,NSE:ITC,NSE:HINDUNILVR," htmlFormat="all"/>
  </connection>
  <connection id="10" name="Connection8" type="4" refreshedVersion="3" background="1">
    <webPr xl2000="1" url="http://finance.google.com/finance/info?client=ig&amp;q=NSE:NIFTY,NSE:ACC,NSE:ITC,NSE:HINDUNILVR," htmlFormat="all"/>
  </connection>
  <connection id="11" name="Connection9" type="4" refreshedVersion="3" background="1">
    <webPr xl2000="1" url="http://finance.google.com/finance/info?client=ig&amp;q=NSE:NIFTY,NSE:ACC,NSE:ITC,NSE:HINDUNILVR," htmlFormat="all"/>
  </connection>
</connections>
</file>

<file path=xl/sharedStrings.xml><?xml version="1.0" encoding="utf-8"?>
<sst xmlns="http://schemas.openxmlformats.org/spreadsheetml/2006/main" count="155" uniqueCount="60">
  <si>
    <t>AmiBroker Database path</t>
  </si>
  <si>
    <t>Date</t>
  </si>
  <si>
    <t>Trading Symbol</t>
  </si>
  <si>
    <t>Last Traded Price</t>
  </si>
  <si>
    <t>Open Interest</t>
  </si>
  <si>
    <t>Volume</t>
  </si>
  <si>
    <t>ACC</t>
  </si>
  <si>
    <t>ITC</t>
  </si>
  <si>
    <t>s</t>
  </si>
  <si>
    <t>ltt</t>
  </si>
  <si>
    <t xml:space="preserve">id: </t>
  </si>
  <si>
    <t>t</t>
  </si>
  <si>
    <t>NIFTY</t>
  </si>
  <si>
    <t>e</t>
  </si>
  <si>
    <t>NSE</t>
  </si>
  <si>
    <t>l</t>
  </si>
  <si>
    <t>l_cur</t>
  </si>
  <si>
    <t>lt</t>
  </si>
  <si>
    <t>c</t>
  </si>
  <si>
    <t>cp</t>
  </si>
  <si>
    <t>ccol</t>
  </si>
  <si>
    <t>HINDUNILVR</t>
  </si>
  <si>
    <t>// [</t>
  </si>
  <si>
    <t>{</t>
  </si>
  <si>
    <t>}</t>
  </si>
  <si>
    <t>]</t>
  </si>
  <si>
    <t xml:space="preserve"> </t>
  </si>
  <si>
    <t xml:space="preserve"> : </t>
  </si>
  <si>
    <t xml:space="preserve">: </t>
  </si>
  <si>
    <t>:</t>
  </si>
  <si>
    <t>chr</t>
  </si>
  <si>
    <t>Date-Time</t>
  </si>
  <si>
    <t>Aug 19 2:40PM GMT+5:30</t>
  </si>
  <si>
    <t>2:40PM GMT+5: 30</t>
  </si>
  <si>
    <t>Rs.591.50</t>
  </si>
  <si>
    <t>Rs.1126.35</t>
  </si>
  <si>
    <t>Rs.5395.45</t>
  </si>
  <si>
    <t>Aug 19 2:41PM GMT+5:30</t>
  </si>
  <si>
    <t>Rs.312.80</t>
  </si>
  <si>
    <t>2:41PM GMT+5: 30</t>
  </si>
  <si>
    <t>Metastock</t>
  </si>
  <si>
    <t>Fcharts</t>
  </si>
  <si>
    <t>Select Chart</t>
  </si>
  <si>
    <t>1.Save snap from trade tiger into C:\myshubhalabha as shubhasharekhan.xls</t>
  </si>
  <si>
    <t>2.Open sharkhantoami.xlsm within shubhasharekhan.xls</t>
  </si>
  <si>
    <t xml:space="preserve">3.Select chart option amibroker,metastock ,fchart </t>
  </si>
  <si>
    <t xml:space="preserve">4.Click on start </t>
  </si>
  <si>
    <t>Help</t>
  </si>
  <si>
    <t>Contact for support to support@shubhalabha.in</t>
  </si>
  <si>
    <t>select time interval</t>
  </si>
  <si>
    <t>Amibroker</t>
  </si>
  <si>
    <t>This program comes with ABSOLUTELY NO WARRANTY, for more details please read License</t>
  </si>
  <si>
    <t>Start Time</t>
  </si>
  <si>
    <t xml:space="preserve">End Time </t>
  </si>
  <si>
    <t>Mapping symbol</t>
  </si>
  <si>
    <t>ACC-1</t>
  </si>
  <si>
    <t>Ambulance-1</t>
  </si>
  <si>
    <t>bel</t>
  </si>
  <si>
    <t>Please set your date format to dd-mm-yy</t>
  </si>
  <si>
    <t>C:\myshubhalabha\amirealtime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</si>
</sst>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dd/mm/yyyy\,\ hh:mm:ss"/>
  </numFmts>
  <fonts count="9" x14ac:knownFonts="1"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10"/>
      <name val="Tahoma"/>
      <family val="2"/>
    </font>
    <font>
      <b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7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/>
    <xf numFmtId="0" fontId="1" fillId="2" borderId="1" xfId="0" applyFont="1" applyFill="1" applyBorder="1"/>
    <xf numFmtId="164" fontId="0" fillId="0" borderId="0" xfId="0" applyNumberFormat="1"/>
    <xf numFmtId="18" fontId="0" fillId="0" borderId="0" xfId="0" applyNumberFormat="1"/>
    <xf numFmtId="164" fontId="1" fillId="2" borderId="1" xfId="0" applyNumberFormat="1" applyFont="1" applyFill="1" applyBorder="1"/>
    <xf numFmtId="165" fontId="0" fillId="0" borderId="0" xfId="0" applyNumberFormat="1"/>
    <xf numFmtId="2" fontId="0" fillId="0" borderId="0" xfId="0" applyNumberFormat="1"/>
    <xf numFmtId="0" fontId="0" fillId="3" borderId="0" xfId="0" applyFont="1" applyFill="1"/>
    <xf numFmtId="2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6" fillId="0" borderId="0" xfId="0" applyFont="1"/>
    <xf numFmtId="0" fontId="8" fillId="0" borderId="0" xfId="2" applyFont="1"/>
    <xf numFmtId="0" fontId="3" fillId="4" borderId="0" xfId="0" applyFont="1" applyFill="1" applyProtection="1"/>
    <xf numFmtId="0" fontId="3" fillId="4" borderId="0" xfId="0" applyFont="1" applyFill="1"/>
    <xf numFmtId="14" fontId="3" fillId="4" borderId="0" xfId="0" applyNumberFormat="1" applyFont="1" applyFill="1" applyProtection="1"/>
    <xf numFmtId="0" fontId="0" fillId="5" borderId="0" xfId="0" applyFill="1" applyProtection="1">
      <protection locked="0"/>
    </xf>
    <xf numFmtId="14" fontId="3" fillId="5" borderId="0" xfId="0" applyNumberFormat="1" applyFont="1" applyFill="1" applyProtection="1"/>
    <xf numFmtId="21" fontId="3" fillId="5" borderId="0" xfId="0" applyNumberFormat="1" applyFont="1" applyFill="1"/>
    <xf numFmtId="0" fontId="1" fillId="5" borderId="1" xfId="0" applyFont="1" applyFill="1" applyBorder="1"/>
    <xf numFmtId="0" fontId="0" fillId="5" borderId="0" xfId="0" applyFill="1"/>
    <xf numFmtId="0" fontId="3" fillId="3" borderId="0" xfId="0" applyFont="1" applyFill="1"/>
    <xf numFmtId="0" fontId="3" fillId="0" borderId="0" xfId="0" applyFont="1" applyFill="1" applyAlignment="1" applyProtection="1">
      <alignment horizontal="center" vertical="top" wrapText="1"/>
      <protection locked="0"/>
    </xf>
  </cellXfs>
  <cellStyles count="3">
    <cellStyle name="Hyperlink" xfId="2" builtinId="8"/>
    <cellStyle name="Normal" xfId="0" builtinId="0"/>
    <cellStyle name="Normal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0</xdr:row>
          <xdr:rowOff>19050</xdr:rowOff>
        </xdr:from>
        <xdr:to>
          <xdr:col>4</xdr:col>
          <xdr:colOff>419100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Start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2</xdr:row>
          <xdr:rowOff>47625</xdr:rowOff>
        </xdr:from>
        <xdr:to>
          <xdr:col>4</xdr:col>
          <xdr:colOff>419100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Stop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47625</xdr:colOff>
      <xdr:row>8</xdr:row>
      <xdr:rowOff>66675</xdr:rowOff>
    </xdr:from>
    <xdr:to>
      <xdr:col>8</xdr:col>
      <xdr:colOff>390525</xdr:colOff>
      <xdr:row>15</xdr:row>
      <xdr:rowOff>161925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228725"/>
          <a:ext cx="6667500" cy="1428750"/>
        </a:xfrm>
        <a:prstGeom prst="rect">
          <a:avLst/>
        </a:prstGeom>
      </xdr:spPr>
    </xdr:pic>
    <xdr:clientData/>
  </xdr:twoCellAnchor>
  <xdr:twoCellAnchor editAs="oneCell">
    <xdr:from>
      <xdr:col>7</xdr:col>
      <xdr:colOff>742950</xdr:colOff>
      <xdr:row>0</xdr:row>
      <xdr:rowOff>190500</xdr:rowOff>
    </xdr:from>
    <xdr:to>
      <xdr:col>7</xdr:col>
      <xdr:colOff>5120996</xdr:colOff>
      <xdr:row>6</xdr:row>
      <xdr:rowOff>9525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3625" y="190500"/>
          <a:ext cx="4378046" cy="9810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4</xdr:row>
          <xdr:rowOff>95250</xdr:rowOff>
        </xdr:from>
        <xdr:to>
          <xdr:col>4</xdr:col>
          <xdr:colOff>428625</xdr:colOff>
          <xdr:row>6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Import Backfill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hubhasharekha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_Stock_Watch"/>
      <sheetName val="WorkArea"/>
      <sheetName val="Sheet1"/>
    </sheetNames>
    <sheetDataSet>
      <sheetData sheetId="0">
        <row r="9">
          <cell r="B9" t="str">
            <v>ACC</v>
          </cell>
          <cell r="E9">
            <v>1056.300048828125</v>
          </cell>
          <cell r="Q9">
            <v>195898</v>
          </cell>
        </row>
        <row r="10">
          <cell r="B10" t="str">
            <v>AMBUJACEM</v>
          </cell>
          <cell r="E10">
            <v>178.89999389648437</v>
          </cell>
          <cell r="Q10">
            <v>1020828</v>
          </cell>
        </row>
        <row r="11">
          <cell r="B11" t="str">
            <v>ASIANPAINT</v>
          </cell>
          <cell r="E11">
            <v>531.20001220703125</v>
          </cell>
          <cell r="Q11">
            <v>825331</v>
          </cell>
        </row>
        <row r="12">
          <cell r="B12" t="str">
            <v>AXISBANK</v>
          </cell>
          <cell r="E12">
            <v>1134.300048828125</v>
          </cell>
          <cell r="Q12">
            <v>2996231</v>
          </cell>
        </row>
        <row r="13">
          <cell r="B13" t="str">
            <v>BAJAJ-AUTO</v>
          </cell>
          <cell r="E13">
            <v>2016.9000244140625</v>
          </cell>
          <cell r="Q13">
            <v>243480</v>
          </cell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name="ExternalData_9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hubhalabha.in/disclaimer/license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58"/>
  <sheetViews>
    <sheetView tabSelected="1" workbookViewId="0">
      <selection activeCell="B5" sqref="B5"/>
    </sheetView>
  </sheetViews>
  <sheetFormatPr defaultRowHeight="15" x14ac:dyDescent="0.25"/>
  <cols>
    <col min="1" max="1" width="23.85546875" bestFit="1" customWidth="1"/>
    <col min="2" max="2" width="30" bestFit="1" customWidth="1"/>
    <col min="3" max="3" width="16" bestFit="1" customWidth="1"/>
    <col min="4" max="4" width="13.5703125" bestFit="1" customWidth="1"/>
    <col min="5" max="5" width="13.42578125" style="1" bestFit="1" customWidth="1"/>
    <col min="6" max="6" width="15.85546875" bestFit="1" customWidth="1"/>
    <col min="7" max="7" width="103.5703125" hidden="1" customWidth="1"/>
    <col min="8" max="8" width="94.85546875" customWidth="1"/>
    <col min="9" max="9" width="19.28515625" customWidth="1"/>
    <col min="10" max="10" width="14.85546875" style="3" bestFit="1" customWidth="1"/>
    <col min="11" max="11" width="15.85546875" style="1" customWidth="1"/>
    <col min="12" max="12" width="0" hidden="1" customWidth="1"/>
    <col min="13" max="13" width="5.42578125" customWidth="1"/>
    <col min="14" max="14" width="11.42578125" customWidth="1"/>
  </cols>
  <sheetData>
    <row r="1" spans="1:28" ht="15.75" customHeight="1" x14ac:dyDescent="0.25">
      <c r="A1" s="16" t="s">
        <v>0</v>
      </c>
      <c r="B1" s="17" t="s">
        <v>59</v>
      </c>
      <c r="C1" s="10"/>
      <c r="D1" s="11" t="s">
        <v>50</v>
      </c>
      <c r="E1" s="11"/>
      <c r="F1" s="11"/>
      <c r="G1" s="11"/>
      <c r="H1" s="1"/>
      <c r="I1" s="1"/>
      <c r="J1" s="1"/>
      <c r="L1" s="1">
        <v>1</v>
      </c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x14ac:dyDescent="0.25">
      <c r="A2" s="16"/>
      <c r="B2" s="17"/>
      <c r="C2" s="23"/>
      <c r="D2" s="11" t="s">
        <v>40</v>
      </c>
      <c r="E2" s="11"/>
      <c r="F2" s="11"/>
      <c r="G2" s="11"/>
      <c r="H2" s="1"/>
      <c r="I2" s="1"/>
      <c r="J2" s="1"/>
      <c r="L2" s="1">
        <v>3</v>
      </c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5.75" customHeight="1" x14ac:dyDescent="0.25">
      <c r="A3" s="14" t="s">
        <v>49</v>
      </c>
      <c r="B3" s="17">
        <v>3</v>
      </c>
      <c r="C3" s="23"/>
      <c r="D3" s="11" t="s">
        <v>41</v>
      </c>
      <c r="E3" s="11"/>
      <c r="F3" s="11"/>
      <c r="G3" s="11"/>
      <c r="H3" s="1"/>
      <c r="I3" s="1"/>
      <c r="J3" s="1"/>
      <c r="L3" s="1">
        <v>5</v>
      </c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x14ac:dyDescent="0.25">
      <c r="A4" s="14" t="s">
        <v>42</v>
      </c>
      <c r="B4" s="17" t="s">
        <v>50</v>
      </c>
      <c r="C4" s="23"/>
      <c r="D4" s="11"/>
      <c r="E4" s="11"/>
      <c r="F4" s="11"/>
      <c r="G4" s="11"/>
      <c r="H4" s="1"/>
      <c r="I4" s="1"/>
      <c r="J4" s="1"/>
      <c r="L4" s="1">
        <v>10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x14ac:dyDescent="0.25">
      <c r="A5" s="14" t="s">
        <v>1</v>
      </c>
      <c r="B5" s="18">
        <f ca="1">TODAY()</f>
        <v>41597</v>
      </c>
      <c r="C5" s="11"/>
      <c r="D5" s="11"/>
      <c r="E5" s="11"/>
      <c r="F5" s="11"/>
      <c r="G5" s="11"/>
      <c r="H5" s="1"/>
      <c r="I5" s="1"/>
      <c r="J5" s="1"/>
      <c r="L5" s="21">
        <v>20</v>
      </c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s="1" customFormat="1" x14ac:dyDescent="0.25">
      <c r="A6" s="15" t="s">
        <v>52</v>
      </c>
      <c r="B6" s="19">
        <v>0.38541666666666669</v>
      </c>
      <c r="C6" s="11"/>
      <c r="D6" s="11"/>
      <c r="E6" s="11"/>
      <c r="F6" s="11"/>
      <c r="G6" s="11"/>
      <c r="L6" s="1">
        <v>30</v>
      </c>
    </row>
    <row r="7" spans="1:28" s="1" customFormat="1" x14ac:dyDescent="0.25">
      <c r="A7" s="15" t="s">
        <v>53</v>
      </c>
      <c r="B7" s="19">
        <v>0.64583333333333337</v>
      </c>
      <c r="C7" s="11"/>
      <c r="D7" s="11"/>
      <c r="E7" s="11"/>
      <c r="F7" s="11"/>
      <c r="G7" s="11"/>
    </row>
    <row r="8" spans="1:28" s="21" customFormat="1" x14ac:dyDescent="0.25">
      <c r="A8" s="20" t="s">
        <v>2</v>
      </c>
      <c r="B8" s="20" t="s">
        <v>31</v>
      </c>
      <c r="C8" s="20" t="s">
        <v>3</v>
      </c>
      <c r="D8" s="20" t="s">
        <v>5</v>
      </c>
      <c r="E8" s="20" t="s">
        <v>4</v>
      </c>
      <c r="F8" s="20" t="s">
        <v>54</v>
      </c>
      <c r="G8" s="20"/>
      <c r="L8" s="1"/>
    </row>
    <row r="9" spans="1:28" x14ac:dyDescent="0.25">
      <c r="A9" s="9" t="str">
        <f>[1]Streaming_Stock_Watch!$B$9</f>
        <v>ACC</v>
      </c>
      <c r="B9" s="6">
        <f ca="1">NOW()</f>
        <v>41597.729801041663</v>
      </c>
      <c r="C9" s="7">
        <f>[1]Streaming_Stock_Watch!$E$9</f>
        <v>1056.300048828125</v>
      </c>
      <c r="D9" s="7">
        <f>[1]Streaming_Stock_Watch!$Q$9</f>
        <v>195898</v>
      </c>
      <c r="E9" s="1">
        <v>0</v>
      </c>
      <c r="F9" s="1" t="s">
        <v>55</v>
      </c>
      <c r="G9" s="1"/>
      <c r="H9" s="1"/>
      <c r="I9" s="1"/>
      <c r="J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x14ac:dyDescent="0.25">
      <c r="A10" s="7" t="str">
        <f>[1]Streaming_Stock_Watch!$B$10</f>
        <v>AMBUJACEM</v>
      </c>
      <c r="B10" s="6">
        <f t="shared" ref="B10:B52" ca="1" si="0">NOW()</f>
        <v>41597.729801041663</v>
      </c>
      <c r="C10" s="7">
        <f>[1]Streaming_Stock_Watch!$E$10</f>
        <v>178.89999389648437</v>
      </c>
      <c r="D10" s="7">
        <f>[1]Streaming_Stock_Watch!$Q$10</f>
        <v>1020828</v>
      </c>
      <c r="E10" s="1">
        <v>0</v>
      </c>
      <c r="F10" s="1" t="s">
        <v>56</v>
      </c>
      <c r="G10" s="1"/>
      <c r="H10" s="1"/>
      <c r="I10" s="1"/>
      <c r="J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x14ac:dyDescent="0.25">
      <c r="A11" s="7" t="str">
        <f>[1]Streaming_Stock_Watch!$B$11</f>
        <v>ASIANPAINT</v>
      </c>
      <c r="B11" s="6">
        <f t="shared" ca="1" si="0"/>
        <v>41597.729801041663</v>
      </c>
      <c r="C11" s="7">
        <f>[1]Streaming_Stock_Watch!$E$11</f>
        <v>531.20001220703125</v>
      </c>
      <c r="D11" s="7">
        <f>[1]Streaming_Stock_Watch!$Q$11</f>
        <v>825331</v>
      </c>
      <c r="E11" s="1">
        <v>0</v>
      </c>
      <c r="F11" s="1"/>
      <c r="G11" s="1"/>
      <c r="H11" s="1"/>
      <c r="I11" s="1"/>
      <c r="J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s="1" customFormat="1" x14ac:dyDescent="0.25">
      <c r="A12" s="7" t="str">
        <f>[1]Streaming_Stock_Watch!$B$12</f>
        <v>AXISBANK</v>
      </c>
      <c r="B12" s="6">
        <f t="shared" ca="1" si="0"/>
        <v>41597.729801041663</v>
      </c>
      <c r="C12" s="7">
        <f>[1]Streaming_Stock_Watch!$E$12</f>
        <v>1134.300048828125</v>
      </c>
      <c r="D12" s="7">
        <f>[1]Streaming_Stock_Watch!$Q$12</f>
        <v>2996231</v>
      </c>
      <c r="E12" s="1">
        <v>0</v>
      </c>
    </row>
    <row r="13" spans="1:28" x14ac:dyDescent="0.25">
      <c r="A13" s="7" t="str">
        <f>[1]Streaming_Stock_Watch!$B$13</f>
        <v>BAJAJ-AUTO</v>
      </c>
      <c r="B13" s="6">
        <f t="shared" ca="1" si="0"/>
        <v>41597.729801041663</v>
      </c>
      <c r="C13" s="7">
        <f>[1]Streaming_Stock_Watch!$E$13</f>
        <v>2016.9000244140625</v>
      </c>
      <c r="D13" s="7">
        <f>[1]Streaming_Stock_Watch!$Q$13</f>
        <v>243480</v>
      </c>
      <c r="E13" s="1">
        <v>0</v>
      </c>
      <c r="F13" s="1"/>
      <c r="G13" s="1"/>
      <c r="H13" s="1"/>
      <c r="I13" s="1"/>
      <c r="J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 x14ac:dyDescent="0.25">
      <c r="A14" s="7">
        <f>[1]Streaming_Stock_Watch!$B$14</f>
        <v>0</v>
      </c>
      <c r="B14" s="6">
        <f t="shared" ca="1" si="0"/>
        <v>41597.729801041663</v>
      </c>
      <c r="C14" s="7">
        <f>[1]Streaming_Stock_Watch!$E$14</f>
        <v>0</v>
      </c>
      <c r="D14" s="7">
        <f>[1]Streaming_Stock_Watch!$Q$14</f>
        <v>0</v>
      </c>
      <c r="E14" s="1">
        <v>0</v>
      </c>
      <c r="F14" s="1"/>
      <c r="G14" s="1"/>
      <c r="H14" s="1"/>
      <c r="I14" s="1"/>
      <c r="J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 x14ac:dyDescent="0.25">
      <c r="A15" s="7">
        <f>[1]Streaming_Stock_Watch!$B$15</f>
        <v>0</v>
      </c>
      <c r="B15" s="6">
        <f t="shared" ca="1" si="0"/>
        <v>41597.729801041663</v>
      </c>
      <c r="C15" s="7">
        <f>[1]Streaming_Stock_Watch!$E$15</f>
        <v>0</v>
      </c>
      <c r="D15" s="7">
        <f>[1]Streaming_Stock_Watch!$Q$15</f>
        <v>0</v>
      </c>
      <c r="E15" s="1">
        <v>0</v>
      </c>
      <c r="F15" s="1"/>
      <c r="G15" s="1"/>
      <c r="H15" s="1"/>
      <c r="I15" s="1"/>
      <c r="J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x14ac:dyDescent="0.25">
      <c r="A16" s="7">
        <f>[1]Streaming_Stock_Watch!$B$16</f>
        <v>0</v>
      </c>
      <c r="B16" s="6">
        <f t="shared" ca="1" si="0"/>
        <v>41597.729801041663</v>
      </c>
      <c r="C16" s="7">
        <f>[1]Streaming_Stock_Watch!$E$16</f>
        <v>0</v>
      </c>
      <c r="D16" s="7">
        <f>[1]Streaming_Stock_Watch!$Q$16</f>
        <v>0</v>
      </c>
      <c r="E16" s="1">
        <v>0</v>
      </c>
      <c r="F16" s="1" t="s">
        <v>57</v>
      </c>
      <c r="G16" s="1"/>
      <c r="H16" s="1"/>
      <c r="I16" s="1"/>
      <c r="J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 x14ac:dyDescent="0.25">
      <c r="A17" s="7">
        <f>[1]Streaming_Stock_Watch!$B$17</f>
        <v>0</v>
      </c>
      <c r="B17" s="6">
        <f t="shared" ca="1" si="0"/>
        <v>41597.729801041663</v>
      </c>
      <c r="C17" s="7">
        <f>[1]Streaming_Stock_Watch!$E$17</f>
        <v>0</v>
      </c>
      <c r="D17" s="7">
        <f>[1]Streaming_Stock_Watch!$Q$17</f>
        <v>0</v>
      </c>
      <c r="E17" s="1">
        <v>0</v>
      </c>
      <c r="F17" s="1"/>
      <c r="G17" s="1"/>
      <c r="H17" s="1"/>
      <c r="I17" s="1"/>
      <c r="J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 x14ac:dyDescent="0.25">
      <c r="A18" s="7">
        <f>[1]Streaming_Stock_Watch!$B$18</f>
        <v>0</v>
      </c>
      <c r="B18" s="6">
        <f t="shared" ca="1" si="0"/>
        <v>41597.729801041663</v>
      </c>
      <c r="C18" s="7">
        <f>[1]Streaming_Stock_Watch!$E$18</f>
        <v>0</v>
      </c>
      <c r="D18" s="7">
        <f>[1]Streaming_Stock_Watch!$Q$18</f>
        <v>0</v>
      </c>
      <c r="E18" s="1">
        <v>0</v>
      </c>
      <c r="F18" s="1"/>
      <c r="H18" s="8" t="s">
        <v>47</v>
      </c>
      <c r="I18" s="1"/>
      <c r="J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 x14ac:dyDescent="0.25">
      <c r="A19" s="7">
        <f>[1]Streaming_Stock_Watch!$B$19</f>
        <v>0</v>
      </c>
      <c r="B19" s="6">
        <f t="shared" ca="1" si="0"/>
        <v>41597.729801041663</v>
      </c>
      <c r="C19" s="7">
        <f>[1]Streaming_Stock_Watch!$E$19</f>
        <v>0</v>
      </c>
      <c r="D19" s="7">
        <f>[1]Streaming_Stock_Watch!$Q$19</f>
        <v>0</v>
      </c>
      <c r="E19" s="1">
        <v>0</v>
      </c>
      <c r="F19" s="1"/>
      <c r="H19" s="8" t="s">
        <v>43</v>
      </c>
      <c r="I19" s="1"/>
      <c r="J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 x14ac:dyDescent="0.25">
      <c r="A20" s="7">
        <f>[1]Streaming_Stock_Watch!$B$20</f>
        <v>0</v>
      </c>
      <c r="B20" s="6">
        <f t="shared" ca="1" si="0"/>
        <v>41597.729801041663</v>
      </c>
      <c r="C20" s="7">
        <f>[1]Streaming_Stock_Watch!$E$20</f>
        <v>0</v>
      </c>
      <c r="D20" s="7">
        <f>[1]Streaming_Stock_Watch!$Q$20</f>
        <v>0</v>
      </c>
      <c r="E20" s="1">
        <v>0</v>
      </c>
      <c r="F20" s="1"/>
      <c r="H20" s="8" t="s">
        <v>44</v>
      </c>
      <c r="I20" s="1"/>
      <c r="J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x14ac:dyDescent="0.25">
      <c r="A21" s="7">
        <f>[1]Streaming_Stock_Watch!$B$21</f>
        <v>0</v>
      </c>
      <c r="B21" s="6">
        <f t="shared" ca="1" si="0"/>
        <v>41597.729801041663</v>
      </c>
      <c r="C21" s="7">
        <f>[1]Streaming_Stock_Watch!$E$21</f>
        <v>0</v>
      </c>
      <c r="D21" s="7">
        <f>[1]Streaming_Stock_Watch!$Q$21</f>
        <v>0</v>
      </c>
      <c r="E21" s="1">
        <v>0</v>
      </c>
      <c r="F21" s="1"/>
      <c r="H21" s="8" t="s">
        <v>45</v>
      </c>
      <c r="I21" s="1"/>
      <c r="J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 x14ac:dyDescent="0.25">
      <c r="A22" s="7">
        <f>[1]Streaming_Stock_Watch!$B$22</f>
        <v>0</v>
      </c>
      <c r="B22" s="6">
        <f t="shared" ca="1" si="0"/>
        <v>41597.729801041663</v>
      </c>
      <c r="C22" s="7">
        <f>[1]Streaming_Stock_Watch!$E$22</f>
        <v>0</v>
      </c>
      <c r="D22" s="7">
        <f>[1]Streaming_Stock_Watch!$Q$22</f>
        <v>0</v>
      </c>
      <c r="E22" s="1">
        <v>0</v>
      </c>
      <c r="F22" s="1"/>
      <c r="H22" s="8" t="s">
        <v>46</v>
      </c>
      <c r="I22" s="1"/>
      <c r="J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x14ac:dyDescent="0.25">
      <c r="A23" s="7">
        <f>[1]Streaming_Stock_Watch!$B$23</f>
        <v>0</v>
      </c>
      <c r="B23" s="6">
        <f t="shared" ca="1" si="0"/>
        <v>41597.729801041663</v>
      </c>
      <c r="C23" s="7">
        <f>[1]Streaming_Stock_Watch!$E$23</f>
        <v>0</v>
      </c>
      <c r="D23" s="7">
        <f>[1]Streaming_Stock_Watch!$Q$23</f>
        <v>0</v>
      </c>
      <c r="E23" s="1">
        <v>0</v>
      </c>
      <c r="F23" s="1"/>
      <c r="H23" s="8" t="s">
        <v>48</v>
      </c>
      <c r="I23" s="1"/>
      <c r="J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 x14ac:dyDescent="0.25">
      <c r="A24" s="7">
        <f>[1]Streaming_Stock_Watch!$B$24</f>
        <v>0</v>
      </c>
      <c r="B24" s="6">
        <f t="shared" ca="1" si="0"/>
        <v>41597.729801041663</v>
      </c>
      <c r="C24" s="7">
        <f>[1]Streaming_Stock_Watch!$E$24</f>
        <v>0</v>
      </c>
      <c r="D24" s="7">
        <f>[1]Streaming_Stock_Watch!$Q$24</f>
        <v>0</v>
      </c>
      <c r="E24" s="1">
        <v>0</v>
      </c>
      <c r="F24" s="1"/>
      <c r="H24" s="22" t="s">
        <v>58</v>
      </c>
      <c r="I24" s="1"/>
      <c r="J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x14ac:dyDescent="0.25">
      <c r="A25" s="7">
        <f>[1]Streaming_Stock_Watch!$B$25</f>
        <v>0</v>
      </c>
      <c r="B25" s="6">
        <f t="shared" ca="1" si="0"/>
        <v>41597.729801041663</v>
      </c>
      <c r="C25" s="7">
        <f>[1]Streaming_Stock_Watch!$E$25</f>
        <v>0</v>
      </c>
      <c r="D25" s="7">
        <f>[1]Streaming_Stock_Watch!$Q$25</f>
        <v>0</v>
      </c>
      <c r="E25" s="1">
        <v>0</v>
      </c>
      <c r="F25" s="1"/>
      <c r="G25" s="1"/>
      <c r="H25" s="1"/>
      <c r="I25" s="1"/>
      <c r="J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 x14ac:dyDescent="0.25">
      <c r="A26" s="7">
        <f>[1]Streaming_Stock_Watch!$B$26</f>
        <v>0</v>
      </c>
      <c r="B26" s="6">
        <f t="shared" ca="1" si="0"/>
        <v>41597.729801041663</v>
      </c>
      <c r="C26" s="7">
        <f>[1]Streaming_Stock_Watch!$E$26</f>
        <v>0</v>
      </c>
      <c r="D26" s="7">
        <f>[1]Streaming_Stock_Watch!$Q$26</f>
        <v>0</v>
      </c>
      <c r="E26" s="1">
        <v>0</v>
      </c>
      <c r="F26" s="1"/>
      <c r="G26" s="1"/>
      <c r="H26" s="12"/>
      <c r="I26" s="1"/>
      <c r="J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 x14ac:dyDescent="0.25">
      <c r="A27" s="7">
        <f>[1]Streaming_Stock_Watch!$B$27</f>
        <v>0</v>
      </c>
      <c r="B27" s="6">
        <f t="shared" ca="1" si="0"/>
        <v>41597.729801041663</v>
      </c>
      <c r="C27" s="7">
        <f>[1]Streaming_Stock_Watch!$E$27</f>
        <v>0</v>
      </c>
      <c r="D27" s="7">
        <f>[1]Streaming_Stock_Watch!$Q$27</f>
        <v>0</v>
      </c>
      <c r="E27" s="1">
        <v>0</v>
      </c>
      <c r="F27" s="1"/>
      <c r="H27" s="13" t="s">
        <v>51</v>
      </c>
      <c r="I27" s="1"/>
      <c r="J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x14ac:dyDescent="0.25">
      <c r="A28" s="7">
        <f>[1]Streaming_Stock_Watch!$B$28</f>
        <v>0</v>
      </c>
      <c r="B28" s="6">
        <f t="shared" ca="1" si="0"/>
        <v>41597.729801041663</v>
      </c>
      <c r="C28" s="7">
        <f>[1]Streaming_Stock_Watch!$E$28</f>
        <v>0</v>
      </c>
      <c r="D28" s="7">
        <f>[1]Streaming_Stock_Watch!$Q$28</f>
        <v>0</v>
      </c>
      <c r="E28" s="1">
        <v>0</v>
      </c>
      <c r="F28" s="1"/>
      <c r="H28" s="1"/>
      <c r="I28" s="1"/>
      <c r="J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x14ac:dyDescent="0.25">
      <c r="A29" s="7">
        <f>[1]Streaming_Stock_Watch!$B$29</f>
        <v>0</v>
      </c>
      <c r="B29" s="6">
        <f t="shared" ca="1" si="0"/>
        <v>41597.729801041663</v>
      </c>
      <c r="C29" s="7">
        <f>[1]Streaming_Stock_Watch!$E$29</f>
        <v>0</v>
      </c>
      <c r="D29" s="7">
        <f>[1]Streaming_Stock_Watch!$Q$29</f>
        <v>0</v>
      </c>
      <c r="E29" s="1">
        <v>0</v>
      </c>
      <c r="F29" s="1"/>
      <c r="H29" s="1"/>
      <c r="I29" s="1"/>
      <c r="J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x14ac:dyDescent="0.25">
      <c r="A30" s="7">
        <f>[1]Streaming_Stock_Watch!$B$30</f>
        <v>0</v>
      </c>
      <c r="B30" s="6">
        <f t="shared" ca="1" si="0"/>
        <v>41597.729801041663</v>
      </c>
      <c r="C30" s="7">
        <f>[1]Streaming_Stock_Watch!$E$30</f>
        <v>0</v>
      </c>
      <c r="D30" s="7">
        <f>[1]Streaming_Stock_Watch!$Q$30</f>
        <v>0</v>
      </c>
      <c r="E30" s="1">
        <v>0</v>
      </c>
      <c r="F30" s="1"/>
      <c r="L30" s="1"/>
    </row>
    <row r="31" spans="1:28" x14ac:dyDescent="0.25">
      <c r="A31" s="7">
        <f>[1]Streaming_Stock_Watch!$B$31</f>
        <v>0</v>
      </c>
      <c r="B31" s="6">
        <f t="shared" ca="1" si="0"/>
        <v>41597.729801041663</v>
      </c>
      <c r="C31" s="7">
        <f>[1]Streaming_Stock_Watch!$E$31</f>
        <v>0</v>
      </c>
      <c r="D31" s="7">
        <f>[1]Streaming_Stock_Watch!$Q$31</f>
        <v>0</v>
      </c>
      <c r="E31" s="1">
        <v>0</v>
      </c>
      <c r="F31" s="1"/>
      <c r="L31" s="1"/>
    </row>
    <row r="32" spans="1:28" x14ac:dyDescent="0.25">
      <c r="A32" s="7">
        <f>[1]Streaming_Stock_Watch!$B$32</f>
        <v>0</v>
      </c>
      <c r="B32" s="6">
        <f t="shared" ca="1" si="0"/>
        <v>41597.729801041663</v>
      </c>
      <c r="C32" s="7">
        <f>[1]Streaming_Stock_Watch!$E$32</f>
        <v>0</v>
      </c>
      <c r="D32" s="7">
        <f>[1]Streaming_Stock_Watch!$Q$32</f>
        <v>0</v>
      </c>
      <c r="E32" s="1">
        <v>0</v>
      </c>
      <c r="F32" s="1"/>
      <c r="L32" s="1"/>
    </row>
    <row r="33" spans="1:12" x14ac:dyDescent="0.25">
      <c r="A33" s="7">
        <f>[1]Streaming_Stock_Watch!$B$33</f>
        <v>0</v>
      </c>
      <c r="B33" s="6">
        <f t="shared" ca="1" si="0"/>
        <v>41597.729801041663</v>
      </c>
      <c r="C33" s="7">
        <f>[1]Streaming_Stock_Watch!$E$33</f>
        <v>0</v>
      </c>
      <c r="D33" s="7">
        <f>[1]Streaming_Stock_Watch!$Q$33</f>
        <v>0</v>
      </c>
      <c r="E33" s="1">
        <v>0</v>
      </c>
      <c r="F33" s="1"/>
      <c r="L33" s="1"/>
    </row>
    <row r="34" spans="1:12" x14ac:dyDescent="0.25">
      <c r="A34" s="7">
        <f>[1]Streaming_Stock_Watch!$B$34</f>
        <v>0</v>
      </c>
      <c r="B34" s="6">
        <f t="shared" ca="1" si="0"/>
        <v>41597.729801041663</v>
      </c>
      <c r="C34" s="7">
        <f>[1]Streaming_Stock_Watch!$E$34</f>
        <v>0</v>
      </c>
      <c r="D34" s="7">
        <f>[1]Streaming_Stock_Watch!$Q$34</f>
        <v>0</v>
      </c>
      <c r="E34" s="1">
        <v>0</v>
      </c>
      <c r="F34" s="1"/>
      <c r="L34" s="1"/>
    </row>
    <row r="35" spans="1:12" x14ac:dyDescent="0.25">
      <c r="A35" s="7">
        <f>[1]Streaming_Stock_Watch!$B$35</f>
        <v>0</v>
      </c>
      <c r="B35" s="6">
        <f t="shared" ca="1" si="0"/>
        <v>41597.729801041663</v>
      </c>
      <c r="C35" s="7">
        <f>[1]Streaming_Stock_Watch!$E$35</f>
        <v>0</v>
      </c>
      <c r="D35" s="7">
        <f>[1]Streaming_Stock_Watch!$Q$35</f>
        <v>0</v>
      </c>
      <c r="E35" s="1">
        <v>0</v>
      </c>
      <c r="F35" s="1"/>
      <c r="L35" s="1"/>
    </row>
    <row r="36" spans="1:12" x14ac:dyDescent="0.25">
      <c r="A36" s="7">
        <f>[1]Streaming_Stock_Watch!$B$36</f>
        <v>0</v>
      </c>
      <c r="B36" s="6">
        <f t="shared" ca="1" si="0"/>
        <v>41597.729801041663</v>
      </c>
      <c r="C36" s="7">
        <f>[1]Streaming_Stock_Watch!$E$36</f>
        <v>0</v>
      </c>
      <c r="D36" s="7">
        <f>[1]Streaming_Stock_Watch!$Q$36</f>
        <v>0</v>
      </c>
      <c r="E36" s="1">
        <v>0</v>
      </c>
      <c r="F36" s="1"/>
      <c r="L36" s="1"/>
    </row>
    <row r="37" spans="1:12" x14ac:dyDescent="0.25">
      <c r="A37" s="7">
        <f>[1]Streaming_Stock_Watch!$B$37</f>
        <v>0</v>
      </c>
      <c r="B37" s="6">
        <f t="shared" ca="1" si="0"/>
        <v>41597.729801041663</v>
      </c>
      <c r="C37" s="7">
        <f>[1]Streaming_Stock_Watch!$E$37</f>
        <v>0</v>
      </c>
      <c r="D37" s="7">
        <f>[1]Streaming_Stock_Watch!$Q$37</f>
        <v>0</v>
      </c>
      <c r="E37" s="1">
        <v>0</v>
      </c>
      <c r="F37" s="1"/>
      <c r="L37" s="1"/>
    </row>
    <row r="38" spans="1:12" x14ac:dyDescent="0.25">
      <c r="A38" s="7">
        <f>[1]Streaming_Stock_Watch!$B$38</f>
        <v>0</v>
      </c>
      <c r="B38" s="6">
        <f t="shared" ca="1" si="0"/>
        <v>41597.729801041663</v>
      </c>
      <c r="C38" s="7">
        <f>[1]Streaming_Stock_Watch!$E$38</f>
        <v>0</v>
      </c>
      <c r="D38" s="7">
        <f>[1]Streaming_Stock_Watch!$Q$38</f>
        <v>0</v>
      </c>
      <c r="E38" s="1">
        <v>0</v>
      </c>
      <c r="F38" s="1"/>
      <c r="L38" s="1"/>
    </row>
    <row r="39" spans="1:12" x14ac:dyDescent="0.25">
      <c r="A39" s="7">
        <f>[1]Streaming_Stock_Watch!$B$39</f>
        <v>0</v>
      </c>
      <c r="B39" s="6">
        <f t="shared" ca="1" si="0"/>
        <v>41597.729801041663</v>
      </c>
      <c r="C39" s="7">
        <f>[1]Streaming_Stock_Watch!$E$39</f>
        <v>0</v>
      </c>
      <c r="D39" s="7">
        <f>[1]Streaming_Stock_Watch!$Q$39</f>
        <v>0</v>
      </c>
      <c r="E39" s="1">
        <v>0</v>
      </c>
      <c r="F39" s="1"/>
      <c r="L39" s="1"/>
    </row>
    <row r="40" spans="1:12" x14ac:dyDescent="0.25">
      <c r="A40" s="7">
        <f>[1]Streaming_Stock_Watch!$B$40</f>
        <v>0</v>
      </c>
      <c r="B40" s="6">
        <f t="shared" ca="1" si="0"/>
        <v>41597.729801041663</v>
      </c>
      <c r="C40" s="7">
        <f>[1]Streaming_Stock_Watch!$E$40</f>
        <v>0</v>
      </c>
      <c r="D40" s="7">
        <f>[1]Streaming_Stock_Watch!$Q$40</f>
        <v>0</v>
      </c>
      <c r="E40" s="1">
        <v>0</v>
      </c>
      <c r="F40" s="1"/>
      <c r="L40" s="1"/>
    </row>
    <row r="41" spans="1:12" x14ac:dyDescent="0.25">
      <c r="A41" s="7">
        <f>[1]Streaming_Stock_Watch!$B$941</f>
        <v>0</v>
      </c>
      <c r="B41" s="6">
        <f t="shared" ca="1" si="0"/>
        <v>41597.729801041663</v>
      </c>
      <c r="C41" s="7">
        <f>[1]Streaming_Stock_Watch!$E$41</f>
        <v>0</v>
      </c>
      <c r="D41" s="7">
        <f>[1]Streaming_Stock_Watch!$Q$41</f>
        <v>0</v>
      </c>
      <c r="E41" s="1">
        <v>0</v>
      </c>
      <c r="F41" s="1"/>
      <c r="L41" s="1"/>
    </row>
    <row r="42" spans="1:12" x14ac:dyDescent="0.25">
      <c r="A42" s="7">
        <f>[1]Streaming_Stock_Watch!$B$42</f>
        <v>0</v>
      </c>
      <c r="B42" s="6">
        <f t="shared" ca="1" si="0"/>
        <v>41597.729801041663</v>
      </c>
      <c r="C42" s="7">
        <f>[1]Streaming_Stock_Watch!$E$42</f>
        <v>0</v>
      </c>
      <c r="D42" s="7">
        <f>[1]Streaming_Stock_Watch!$Q$42</f>
        <v>0</v>
      </c>
      <c r="E42" s="1">
        <v>0</v>
      </c>
      <c r="F42" s="1"/>
      <c r="L42" s="1"/>
    </row>
    <row r="43" spans="1:12" x14ac:dyDescent="0.25">
      <c r="A43" s="7">
        <f>[1]Streaming_Stock_Watch!$B$43</f>
        <v>0</v>
      </c>
      <c r="B43" s="6">
        <f t="shared" ca="1" si="0"/>
        <v>41597.729801041663</v>
      </c>
      <c r="C43" s="7">
        <f>[1]Streaming_Stock_Watch!$E$43</f>
        <v>0</v>
      </c>
      <c r="D43" s="7">
        <f>[1]Streaming_Stock_Watch!$Q$43</f>
        <v>0</v>
      </c>
      <c r="E43" s="1">
        <v>0</v>
      </c>
      <c r="F43" s="1"/>
      <c r="L43" s="1"/>
    </row>
    <row r="44" spans="1:12" x14ac:dyDescent="0.25">
      <c r="A44" s="7">
        <f>[1]Streaming_Stock_Watch!$B$44</f>
        <v>0</v>
      </c>
      <c r="B44" s="6">
        <f t="shared" ca="1" si="0"/>
        <v>41597.729801041663</v>
      </c>
      <c r="C44" s="7">
        <f>[1]Streaming_Stock_Watch!$E$44</f>
        <v>0</v>
      </c>
      <c r="D44" s="7">
        <f>[1]Streaming_Stock_Watch!$Q$44</f>
        <v>0</v>
      </c>
      <c r="E44" s="1">
        <v>0</v>
      </c>
      <c r="F44" s="1"/>
      <c r="L44" s="1"/>
    </row>
    <row r="45" spans="1:12" x14ac:dyDescent="0.25">
      <c r="A45" s="7">
        <f>[1]Streaming_Stock_Watch!$B$45</f>
        <v>0</v>
      </c>
      <c r="B45" s="6">
        <f t="shared" ca="1" si="0"/>
        <v>41597.729801041663</v>
      </c>
      <c r="C45" s="7">
        <f>[1]Streaming_Stock_Watch!$E$45</f>
        <v>0</v>
      </c>
      <c r="D45" s="7">
        <f>[1]Streaming_Stock_Watch!$Q$45</f>
        <v>0</v>
      </c>
      <c r="E45" s="1">
        <v>0</v>
      </c>
      <c r="F45" s="1"/>
      <c r="L45" s="1"/>
    </row>
    <row r="46" spans="1:12" x14ac:dyDescent="0.25">
      <c r="A46" s="7">
        <f>[1]Streaming_Stock_Watch!$B$46</f>
        <v>0</v>
      </c>
      <c r="B46" s="6">
        <f t="shared" ca="1" si="0"/>
        <v>41597.729801041663</v>
      </c>
      <c r="C46" s="7">
        <f>[1]Streaming_Stock_Watch!$E$46</f>
        <v>0</v>
      </c>
      <c r="D46" s="7">
        <f>[1]Streaming_Stock_Watch!$Q$46</f>
        <v>0</v>
      </c>
      <c r="E46" s="1">
        <v>0</v>
      </c>
      <c r="F46" s="1"/>
      <c r="L46" s="1"/>
    </row>
    <row r="47" spans="1:12" x14ac:dyDescent="0.25">
      <c r="A47" s="7">
        <f>[1]Streaming_Stock_Watch!$B$47</f>
        <v>0</v>
      </c>
      <c r="B47" s="6">
        <f t="shared" ca="1" si="0"/>
        <v>41597.729801041663</v>
      </c>
      <c r="C47" s="7">
        <f>[1]Streaming_Stock_Watch!$E$47</f>
        <v>0</v>
      </c>
      <c r="D47" s="7">
        <f>[1]Streaming_Stock_Watch!$Q$47</f>
        <v>0</v>
      </c>
      <c r="E47" s="1">
        <v>0</v>
      </c>
      <c r="F47" s="1"/>
      <c r="L47" s="1"/>
    </row>
    <row r="48" spans="1:12" x14ac:dyDescent="0.25">
      <c r="A48" s="7">
        <f>[1]Streaming_Stock_Watch!$B$48</f>
        <v>0</v>
      </c>
      <c r="B48" s="6">
        <f t="shared" ca="1" si="0"/>
        <v>41597.729801041663</v>
      </c>
      <c r="C48" s="7">
        <f>[1]Streaming_Stock_Watch!$E$48</f>
        <v>0</v>
      </c>
      <c r="D48" s="7">
        <f>[1]Streaming_Stock_Watch!$Q$48</f>
        <v>0</v>
      </c>
      <c r="E48" s="1">
        <v>0</v>
      </c>
      <c r="F48" s="1"/>
      <c r="L48" s="1"/>
    </row>
    <row r="49" spans="1:12" x14ac:dyDescent="0.25">
      <c r="A49" s="7">
        <f>[1]Streaming_Stock_Watch!$B$49</f>
        <v>0</v>
      </c>
      <c r="B49" s="6">
        <f t="shared" ca="1" si="0"/>
        <v>41597.729801041663</v>
      </c>
      <c r="C49" s="7">
        <f>[1]Streaming_Stock_Watch!$E$49</f>
        <v>0</v>
      </c>
      <c r="D49" s="7">
        <f>[1]Streaming_Stock_Watch!$Q$49</f>
        <v>0</v>
      </c>
      <c r="E49" s="1">
        <v>0</v>
      </c>
      <c r="F49" s="1"/>
      <c r="L49" s="1"/>
    </row>
    <row r="50" spans="1:12" x14ac:dyDescent="0.25">
      <c r="A50" s="7">
        <f>[1]Streaming_Stock_Watch!$B$50</f>
        <v>0</v>
      </c>
      <c r="B50" s="6">
        <f t="shared" ca="1" si="0"/>
        <v>41597.729801041663</v>
      </c>
      <c r="C50" s="7">
        <f>[1]Streaming_Stock_Watch!$E$50</f>
        <v>0</v>
      </c>
      <c r="D50" s="7">
        <f>[1]Streaming_Stock_Watch!$Q$50</f>
        <v>0</v>
      </c>
      <c r="E50" s="1">
        <v>0</v>
      </c>
      <c r="F50" s="1"/>
      <c r="L50" s="1"/>
    </row>
    <row r="51" spans="1:12" x14ac:dyDescent="0.25">
      <c r="A51" s="7">
        <f>[1]Streaming_Stock_Watch!$B$51</f>
        <v>0</v>
      </c>
      <c r="B51" s="6">
        <f t="shared" ca="1" si="0"/>
        <v>41597.729801041663</v>
      </c>
      <c r="C51" s="7">
        <f>[1]Streaming_Stock_Watch!$E$51</f>
        <v>0</v>
      </c>
      <c r="D51" s="7">
        <f>[1]Streaming_Stock_Watch!$Q$51</f>
        <v>0</v>
      </c>
      <c r="E51" s="1">
        <v>0</v>
      </c>
      <c r="F51" s="1"/>
      <c r="L51" s="1"/>
    </row>
    <row r="52" spans="1:12" x14ac:dyDescent="0.25">
      <c r="A52" s="7">
        <f>[1]Streaming_Stock_Watch!$B$52</f>
        <v>0</v>
      </c>
      <c r="B52" s="6">
        <f t="shared" ca="1" si="0"/>
        <v>41597.729801041663</v>
      </c>
      <c r="C52" s="7">
        <f>[1]Streaming_Stock_Watch!$E$52</f>
        <v>0</v>
      </c>
      <c r="D52" s="7">
        <f>[1]Streaming_Stock_Watch!$Q$52</f>
        <v>0</v>
      </c>
      <c r="E52" s="1">
        <v>0</v>
      </c>
      <c r="F52" s="1"/>
      <c r="L52" s="1"/>
    </row>
    <row r="53" spans="1:12" x14ac:dyDescent="0.25">
      <c r="C53" s="1"/>
      <c r="L53" s="1"/>
    </row>
    <row r="54" spans="1:12" x14ac:dyDescent="0.25">
      <c r="C54" s="1"/>
      <c r="L54" s="1"/>
    </row>
    <row r="55" spans="1:12" x14ac:dyDescent="0.25">
      <c r="L55" s="1"/>
    </row>
    <row r="56" spans="1:12" x14ac:dyDescent="0.25">
      <c r="L56" s="1"/>
    </row>
    <row r="57" spans="1:12" x14ac:dyDescent="0.25">
      <c r="L57" s="1"/>
    </row>
    <row r="58" spans="1:12" x14ac:dyDescent="0.25">
      <c r="L58" s="1"/>
    </row>
  </sheetData>
  <sheetProtection formatCells="0"/>
  <mergeCells count="1">
    <mergeCell ref="C2:C4"/>
  </mergeCells>
  <dataValidations count="3">
    <dataValidation type="list" allowBlank="1" showInputMessage="1" showErrorMessage="1" sqref="B2">
      <formula1>"Yes, No"</formula1>
    </dataValidation>
    <dataValidation type="list" allowBlank="1" showInputMessage="1" showErrorMessage="1" sqref="B4">
      <formula1>D1:D3</formula1>
    </dataValidation>
    <dataValidation type="list" allowBlank="1" showInputMessage="1" showErrorMessage="1" sqref="B3">
      <formula1>L1:L59</formula1>
    </dataValidation>
  </dataValidations>
  <hyperlinks>
    <hyperlink ref="H27" r:id="rId1" display="License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Line="0" autoPict="0" macro="[0]!Module1.StartTimer">
                <anchor>
                  <from>
                    <xdr:col>2</xdr:col>
                    <xdr:colOff>19050</xdr:colOff>
                    <xdr:row>0</xdr:row>
                    <xdr:rowOff>19050</xdr:rowOff>
                  </from>
                  <to>
                    <xdr:col>4</xdr:col>
                    <xdr:colOff>419100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Line="0" autoPict="0" macro="[0]!Module1.Stop_Timer">
                <anchor>
                  <from>
                    <xdr:col>2</xdr:col>
                    <xdr:colOff>19050</xdr:colOff>
                    <xdr:row>2</xdr:row>
                    <xdr:rowOff>47625</xdr:rowOff>
                  </from>
                  <to>
                    <xdr:col>4</xdr:col>
                    <xdr:colOff>419100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Line="0" autoPict="0" macro="[0]!backfill">
                <anchor>
                  <from>
                    <xdr:col>2</xdr:col>
                    <xdr:colOff>28575</xdr:colOff>
                    <xdr:row>4</xdr:row>
                    <xdr:rowOff>95250</xdr:rowOff>
                  </from>
                  <to>
                    <xdr:col>4</xdr:col>
                    <xdr:colOff>428625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J56"/>
  <sheetViews>
    <sheetView topLeftCell="A13" workbookViewId="0">
      <selection activeCell="O36" sqref="O36"/>
    </sheetView>
  </sheetViews>
  <sheetFormatPr defaultRowHeight="15" x14ac:dyDescent="0.25"/>
  <cols>
    <col min="3" max="3" width="9.140625" style="3"/>
    <col min="12" max="115" width="30.7109375" style="1" bestFit="1" customWidth="1"/>
    <col min="116" max="139" width="32.42578125" style="1" bestFit="1" customWidth="1"/>
    <col min="140" max="171" width="31.42578125" style="1" bestFit="1" customWidth="1"/>
    <col min="172" max="268" width="30.28515625" style="1" bestFit="1" customWidth="1"/>
    <col min="269" max="269" width="32" style="1" bestFit="1" customWidth="1"/>
  </cols>
  <sheetData>
    <row r="1" spans="1:270" x14ac:dyDescent="0.25">
      <c r="A1" s="2"/>
      <c r="B1" s="2"/>
      <c r="C1" s="5"/>
      <c r="E1" s="1"/>
      <c r="F1" s="1"/>
      <c r="G1" s="1"/>
      <c r="H1" s="1"/>
    </row>
    <row r="2" spans="1:270" x14ac:dyDescent="0.25">
      <c r="A2" s="1" t="s">
        <v>12</v>
      </c>
      <c r="B2" s="1">
        <v>5395.45</v>
      </c>
      <c r="C2" s="1" t="s">
        <v>39</v>
      </c>
      <c r="L2" s="1" t="s">
        <v>22</v>
      </c>
    </row>
    <row r="3" spans="1:270" x14ac:dyDescent="0.25">
      <c r="A3" s="1" t="s">
        <v>6</v>
      </c>
      <c r="B3" s="1">
        <v>1126.3499999999999</v>
      </c>
      <c r="C3" s="1" t="s">
        <v>33</v>
      </c>
      <c r="L3" s="1" t="s">
        <v>23</v>
      </c>
    </row>
    <row r="4" spans="1:270" x14ac:dyDescent="0.25">
      <c r="A4" s="1" t="s">
        <v>7</v>
      </c>
      <c r="B4" s="1">
        <v>312.8</v>
      </c>
      <c r="C4" s="1" t="s">
        <v>39</v>
      </c>
      <c r="L4" s="1" t="s">
        <v>10</v>
      </c>
      <c r="M4" s="1">
        <v>207437</v>
      </c>
    </row>
    <row r="5" spans="1:270" x14ac:dyDescent="0.25">
      <c r="A5" s="1" t="s">
        <v>21</v>
      </c>
      <c r="B5" s="1">
        <v>591.5</v>
      </c>
      <c r="C5" s="1" t="s">
        <v>39</v>
      </c>
      <c r="M5" s="1" t="s">
        <v>11</v>
      </c>
      <c r="N5" s="1" t="s">
        <v>27</v>
      </c>
      <c r="O5" s="1" t="s">
        <v>12</v>
      </c>
    </row>
    <row r="6" spans="1:270" x14ac:dyDescent="0.25">
      <c r="A6" s="1"/>
      <c r="B6" s="1"/>
      <c r="M6" s="1" t="s">
        <v>13</v>
      </c>
      <c r="N6" s="1" t="s">
        <v>27</v>
      </c>
      <c r="O6" s="1" t="s">
        <v>14</v>
      </c>
    </row>
    <row r="7" spans="1:270" x14ac:dyDescent="0.25">
      <c r="A7" s="1"/>
      <c r="B7" s="1"/>
      <c r="M7" s="1" t="s">
        <v>15</v>
      </c>
      <c r="N7" s="1" t="s">
        <v>27</v>
      </c>
      <c r="O7" s="1">
        <v>5395.45</v>
      </c>
    </row>
    <row r="8" spans="1:270" x14ac:dyDescent="0.25">
      <c r="A8" s="1"/>
      <c r="B8" s="1"/>
      <c r="M8" s="1" t="s">
        <v>16</v>
      </c>
      <c r="N8" s="1" t="s">
        <v>27</v>
      </c>
      <c r="O8" s="1" t="s">
        <v>36</v>
      </c>
    </row>
    <row r="9" spans="1:270" x14ac:dyDescent="0.25">
      <c r="A9" s="1"/>
      <c r="B9" s="1"/>
      <c r="M9" s="1" t="s">
        <v>8</v>
      </c>
      <c r="N9" s="1" t="s">
        <v>28</v>
      </c>
      <c r="O9" s="1">
        <v>0</v>
      </c>
    </row>
    <row r="10" spans="1:270" x14ac:dyDescent="0.25">
      <c r="A10" s="1"/>
      <c r="B10" s="1"/>
      <c r="M10" s="1" t="s">
        <v>9</v>
      </c>
      <c r="N10" s="1" t="s">
        <v>29</v>
      </c>
      <c r="O10" s="1" t="s">
        <v>39</v>
      </c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</row>
    <row r="11" spans="1:270" x14ac:dyDescent="0.25">
      <c r="A11" s="1"/>
      <c r="B11" s="1"/>
      <c r="M11" s="1" t="s">
        <v>17</v>
      </c>
      <c r="N11" s="1" t="s">
        <v>27</v>
      </c>
      <c r="O11" s="1" t="s">
        <v>37</v>
      </c>
    </row>
    <row r="12" spans="1:270" x14ac:dyDescent="0.25">
      <c r="A12" s="1"/>
      <c r="B12" s="1"/>
      <c r="M12" s="1" t="s">
        <v>18</v>
      </c>
      <c r="N12" s="1" t="s">
        <v>27</v>
      </c>
      <c r="O12" s="1">
        <v>-112.4</v>
      </c>
    </row>
    <row r="13" spans="1:270" x14ac:dyDescent="0.25">
      <c r="A13" s="1"/>
      <c r="M13" s="1" t="s">
        <v>19</v>
      </c>
      <c r="N13" s="1" t="s">
        <v>27</v>
      </c>
      <c r="O13" s="1">
        <v>-2.04</v>
      </c>
    </row>
    <row r="14" spans="1:270" x14ac:dyDescent="0.25">
      <c r="M14" s="1" t="s">
        <v>20</v>
      </c>
      <c r="N14" s="1" t="s">
        <v>27</v>
      </c>
      <c r="O14" s="1" t="s">
        <v>30</v>
      </c>
    </row>
    <row r="15" spans="1:270" x14ac:dyDescent="0.25">
      <c r="L15" s="1" t="s">
        <v>24</v>
      </c>
    </row>
    <row r="16" spans="1:270" x14ac:dyDescent="0.25">
      <c r="L16" s="1" t="s">
        <v>23</v>
      </c>
    </row>
    <row r="17" spans="12:270" x14ac:dyDescent="0.25">
      <c r="L17" s="1" t="s">
        <v>10</v>
      </c>
      <c r="M17" s="1">
        <v>11787956</v>
      </c>
    </row>
    <row r="18" spans="12:270" x14ac:dyDescent="0.25">
      <c r="M18" s="1" t="s">
        <v>11</v>
      </c>
      <c r="N18" s="1" t="s">
        <v>27</v>
      </c>
      <c r="O18" s="1" t="s">
        <v>6</v>
      </c>
    </row>
    <row r="19" spans="12:270" x14ac:dyDescent="0.25">
      <c r="M19" s="1" t="s">
        <v>13</v>
      </c>
      <c r="N19" s="1" t="s">
        <v>27</v>
      </c>
      <c r="O19" s="1" t="s">
        <v>14</v>
      </c>
    </row>
    <row r="20" spans="12:270" x14ac:dyDescent="0.25">
      <c r="M20" s="1" t="s">
        <v>15</v>
      </c>
      <c r="N20" s="1" t="s">
        <v>27</v>
      </c>
      <c r="O20" s="1">
        <v>1126.3499999999999</v>
      </c>
    </row>
    <row r="21" spans="12:270" x14ac:dyDescent="0.25">
      <c r="M21" s="1" t="s">
        <v>16</v>
      </c>
      <c r="N21" s="1" t="s">
        <v>27</v>
      </c>
      <c r="O21" s="1" t="s">
        <v>35</v>
      </c>
    </row>
    <row r="22" spans="12:270" x14ac:dyDescent="0.25">
      <c r="M22" s="1" t="s">
        <v>8</v>
      </c>
      <c r="N22" s="1" t="s">
        <v>28</v>
      </c>
      <c r="O22" s="1">
        <v>0</v>
      </c>
    </row>
    <row r="23" spans="12:270" x14ac:dyDescent="0.25">
      <c r="M23" s="1" t="s">
        <v>9</v>
      </c>
      <c r="N23" s="1" t="s">
        <v>29</v>
      </c>
      <c r="O23" s="1" t="s">
        <v>33</v>
      </c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</row>
    <row r="24" spans="12:270" x14ac:dyDescent="0.25">
      <c r="M24" s="1" t="s">
        <v>17</v>
      </c>
      <c r="N24" s="1" t="s">
        <v>27</v>
      </c>
      <c r="O24" s="1" t="s">
        <v>32</v>
      </c>
    </row>
    <row r="25" spans="12:270" x14ac:dyDescent="0.25">
      <c r="M25" s="1" t="s">
        <v>18</v>
      </c>
      <c r="N25" s="1" t="s">
        <v>27</v>
      </c>
      <c r="O25" s="1">
        <v>-32.549999999999997</v>
      </c>
    </row>
    <row r="26" spans="12:270" x14ac:dyDescent="0.25">
      <c r="M26" s="1" t="s">
        <v>19</v>
      </c>
      <c r="N26" s="1" t="s">
        <v>27</v>
      </c>
      <c r="O26" s="1">
        <v>-2.81</v>
      </c>
    </row>
    <row r="27" spans="12:270" x14ac:dyDescent="0.25">
      <c r="M27" s="1" t="s">
        <v>20</v>
      </c>
      <c r="N27" s="1" t="s">
        <v>27</v>
      </c>
      <c r="O27" s="1" t="s">
        <v>30</v>
      </c>
    </row>
    <row r="28" spans="12:270" x14ac:dyDescent="0.25">
      <c r="L28" s="1" t="s">
        <v>24</v>
      </c>
    </row>
    <row r="29" spans="12:270" x14ac:dyDescent="0.25">
      <c r="L29" s="1" t="s">
        <v>23</v>
      </c>
    </row>
    <row r="30" spans="12:270" x14ac:dyDescent="0.25">
      <c r="L30" s="1" t="s">
        <v>10</v>
      </c>
      <c r="M30" s="1">
        <v>4153787</v>
      </c>
    </row>
    <row r="31" spans="12:270" x14ac:dyDescent="0.25">
      <c r="M31" s="1" t="s">
        <v>11</v>
      </c>
      <c r="N31" s="1" t="s">
        <v>27</v>
      </c>
      <c r="O31" s="1" t="s">
        <v>7</v>
      </c>
    </row>
    <row r="32" spans="12:270" x14ac:dyDescent="0.25">
      <c r="M32" s="1" t="s">
        <v>13</v>
      </c>
      <c r="N32" s="1" t="s">
        <v>27</v>
      </c>
      <c r="O32" s="1" t="s">
        <v>14</v>
      </c>
    </row>
    <row r="33" spans="12:270" x14ac:dyDescent="0.25">
      <c r="M33" s="1" t="s">
        <v>15</v>
      </c>
      <c r="N33" s="1" t="s">
        <v>27</v>
      </c>
      <c r="O33" s="1">
        <v>312.8</v>
      </c>
    </row>
    <row r="34" spans="12:270" x14ac:dyDescent="0.25">
      <c r="M34" s="1" t="s">
        <v>16</v>
      </c>
      <c r="N34" s="1" t="s">
        <v>27</v>
      </c>
      <c r="O34" s="1" t="s">
        <v>38</v>
      </c>
    </row>
    <row r="35" spans="12:270" x14ac:dyDescent="0.25">
      <c r="M35" s="1" t="s">
        <v>8</v>
      </c>
      <c r="N35" s="1" t="s">
        <v>28</v>
      </c>
      <c r="O35" s="1">
        <v>0</v>
      </c>
    </row>
    <row r="36" spans="12:270" x14ac:dyDescent="0.25">
      <c r="M36" s="1" t="s">
        <v>9</v>
      </c>
      <c r="N36" s="1" t="s">
        <v>29</v>
      </c>
      <c r="O36" s="1" t="s">
        <v>39</v>
      </c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</row>
    <row r="37" spans="12:270" x14ac:dyDescent="0.25">
      <c r="M37" s="1" t="s">
        <v>17</v>
      </c>
      <c r="N37" s="1" t="s">
        <v>27</v>
      </c>
      <c r="O37" s="1" t="s">
        <v>37</v>
      </c>
    </row>
    <row r="38" spans="12:270" x14ac:dyDescent="0.25">
      <c r="M38" s="1" t="s">
        <v>18</v>
      </c>
      <c r="N38" s="1" t="s">
        <v>27</v>
      </c>
      <c r="O38" s="1">
        <v>-7.6</v>
      </c>
    </row>
    <row r="39" spans="12:270" x14ac:dyDescent="0.25">
      <c r="M39" s="1" t="s">
        <v>19</v>
      </c>
      <c r="N39" s="1" t="s">
        <v>27</v>
      </c>
      <c r="O39" s="1">
        <v>-2.37</v>
      </c>
    </row>
    <row r="40" spans="12:270" x14ac:dyDescent="0.25">
      <c r="M40" s="1" t="s">
        <v>20</v>
      </c>
      <c r="N40" s="1" t="s">
        <v>27</v>
      </c>
      <c r="O40" s="1" t="s">
        <v>30</v>
      </c>
    </row>
    <row r="41" spans="12:270" x14ac:dyDescent="0.25">
      <c r="L41" s="1" t="s">
        <v>24</v>
      </c>
    </row>
    <row r="42" spans="12:270" x14ac:dyDescent="0.25">
      <c r="L42" s="1" t="s">
        <v>23</v>
      </c>
    </row>
    <row r="43" spans="12:270" x14ac:dyDescent="0.25">
      <c r="L43" s="1" t="s">
        <v>10</v>
      </c>
      <c r="M43" s="1">
        <v>267163</v>
      </c>
    </row>
    <row r="44" spans="12:270" x14ac:dyDescent="0.25">
      <c r="M44" s="1" t="s">
        <v>11</v>
      </c>
      <c r="N44" s="1" t="s">
        <v>27</v>
      </c>
      <c r="O44" s="1" t="s">
        <v>21</v>
      </c>
    </row>
    <row r="45" spans="12:270" x14ac:dyDescent="0.25">
      <c r="M45" s="1" t="s">
        <v>13</v>
      </c>
      <c r="N45" s="1" t="s">
        <v>27</v>
      </c>
      <c r="O45" s="1" t="s">
        <v>14</v>
      </c>
    </row>
    <row r="46" spans="12:270" x14ac:dyDescent="0.25">
      <c r="M46" s="1" t="s">
        <v>15</v>
      </c>
      <c r="N46" s="1" t="s">
        <v>27</v>
      </c>
      <c r="O46" s="1">
        <v>591.5</v>
      </c>
    </row>
    <row r="47" spans="12:270" x14ac:dyDescent="0.25">
      <c r="M47" s="1" t="s">
        <v>16</v>
      </c>
      <c r="N47" s="1" t="s">
        <v>27</v>
      </c>
      <c r="O47" s="1" t="s">
        <v>34</v>
      </c>
    </row>
    <row r="48" spans="12:270" x14ac:dyDescent="0.25">
      <c r="M48" s="1" t="s">
        <v>8</v>
      </c>
      <c r="N48" s="1" t="s">
        <v>28</v>
      </c>
      <c r="O48" s="1">
        <v>0</v>
      </c>
    </row>
    <row r="49" spans="12:270" x14ac:dyDescent="0.25">
      <c r="M49" s="1" t="s">
        <v>9</v>
      </c>
      <c r="N49" s="1" t="s">
        <v>29</v>
      </c>
      <c r="O49" s="1" t="s">
        <v>39</v>
      </c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</row>
    <row r="50" spans="12:270" x14ac:dyDescent="0.25">
      <c r="M50" s="1" t="s">
        <v>17</v>
      </c>
      <c r="N50" s="1" t="s">
        <v>27</v>
      </c>
      <c r="O50" s="1" t="s">
        <v>37</v>
      </c>
    </row>
    <row r="51" spans="12:270" x14ac:dyDescent="0.25">
      <c r="M51" s="1" t="s">
        <v>18</v>
      </c>
      <c r="N51" s="1" t="s">
        <v>27</v>
      </c>
      <c r="O51" s="1">
        <v>-7.5</v>
      </c>
    </row>
    <row r="52" spans="12:270" x14ac:dyDescent="0.25">
      <c r="M52" s="1" t="s">
        <v>19</v>
      </c>
      <c r="N52" s="1" t="s">
        <v>27</v>
      </c>
      <c r="O52" s="1">
        <v>-1.25</v>
      </c>
    </row>
    <row r="53" spans="12:270" x14ac:dyDescent="0.25">
      <c r="M53" s="1" t="s">
        <v>20</v>
      </c>
      <c r="N53" s="1" t="s">
        <v>27</v>
      </c>
      <c r="O53" s="1" t="s">
        <v>30</v>
      </c>
    </row>
    <row r="54" spans="12:270" x14ac:dyDescent="0.25">
      <c r="L54" s="1" t="s">
        <v>24</v>
      </c>
    </row>
    <row r="55" spans="12:270" x14ac:dyDescent="0.25">
      <c r="L55" s="1" t="s">
        <v>25</v>
      </c>
    </row>
    <row r="56" spans="12:270" x14ac:dyDescent="0.25">
      <c r="L56" s="1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shubhalabha</vt:lpstr>
      <vt:lpstr>Google</vt:lpstr>
      <vt:lpstr>Google!ExternalData_9</vt:lpstr>
      <vt:lpstr>Google!Prices</vt:lpstr>
      <vt:lpstr>Prices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ShubhaSharekhan</dc:title>
  <dc:creator>Shubhalabha</dc:creator>
  <cp:keywords>Give  real time data from sharekhan</cp:keywords>
  <cp:lastModifiedBy>dev1</cp:lastModifiedBy>
  <dcterms:created xsi:type="dcterms:W3CDTF">2012-05-23T15:32:01Z</dcterms:created>
  <dcterms:modified xsi:type="dcterms:W3CDTF">2013-11-19T12:09:26Z</dcterms:modified>
  <cp:contentStatus/>
</cp:coreProperties>
</file>